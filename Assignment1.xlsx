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A68DDFC-6E5F-4073-A97C-BF89AC538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1" sheetId="3" r:id="rId1"/>
    <sheet name="Question2" sheetId="9" r:id="rId2"/>
    <sheet name="Question3" sheetId="4" r:id="rId3"/>
    <sheet name="Question_4" sheetId="5" r:id="rId4"/>
    <sheet name="Question 4" sheetId="6" r:id="rId5"/>
    <sheet name="Question5" sheetId="7" r:id="rId6"/>
    <sheet name="Question6" sheetId="8" r:id="rId7"/>
  </sheets>
  <definedNames>
    <definedName name="_xlnm._FilterDatabase" localSheetId="3" hidden="1">Question_4!$A$2:$AL$27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8" l="1"/>
  <c r="E31" i="8"/>
  <c r="I3" i="8"/>
  <c r="H5" i="7"/>
  <c r="H4" i="7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3" i="8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3" i="7"/>
  <c r="D28" i="7"/>
  <c r="E30" i="6"/>
  <c r="D31" i="5"/>
</calcChain>
</file>

<file path=xl/sharedStrings.xml><?xml version="1.0" encoding="utf-8"?>
<sst xmlns="http://schemas.openxmlformats.org/spreadsheetml/2006/main" count="342" uniqueCount="54">
  <si>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</si>
  <si>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</si>
  <si>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</si>
  <si>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</si>
  <si>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</si>
  <si>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</si>
  <si>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</si>
  <si>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</si>
  <si>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</si>
  <si>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</si>
  <si>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</si>
  <si>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</si>
  <si>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</si>
  <si>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</si>
  <si>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</si>
  <si>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</si>
  <si>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</si>
  <si>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</si>
  <si>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</si>
  <si>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</si>
  <si>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</si>
  <si>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</si>
  <si>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</si>
  <si>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</si>
  <si>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</si>
  <si>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</si>
  <si>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</si>
  <si>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</si>
  <si>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</si>
  <si>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</si>
  <si>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</si>
  <si>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</si>
  <si>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</si>
  <si>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</si>
  <si>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</si>
  <si>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</si>
  <si>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</si>
  <si>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PEI</t>
  </si>
  <si>
    <t>Coreelation</t>
  </si>
  <si>
    <t xml:space="preserve">                                                                     </t>
  </si>
  <si>
    <t xml:space="preserve">                                                                                                                                                        </t>
  </si>
  <si>
    <t>1.Performnace Rating of Hours_Worked &amp;Tasks_Completed</t>
  </si>
  <si>
    <t>Task Per Hour</t>
  </si>
  <si>
    <t>Grand Total</t>
  </si>
  <si>
    <t>StdDevp of Productivity_Score</t>
  </si>
  <si>
    <t>Marketing department has the least variation in productivity</t>
  </si>
  <si>
    <t>2. Scatter plote to visualise the relationship between hours work and task completed</t>
  </si>
  <si>
    <t>1. Top 5 Productive Employees:</t>
  </si>
  <si>
    <t>2. Department-Wise Productivity Consistency</t>
  </si>
  <si>
    <t>3.Productivity Efficiency Index (PEI)</t>
  </si>
  <si>
    <t>4.Work Hours and Productivity Correlation(2)</t>
  </si>
  <si>
    <t>5.  Underutilized High Performers</t>
  </si>
  <si>
    <t>6.Tasks per Hour Efficiency</t>
  </si>
  <si>
    <t xml:space="preserve"> 4. Correlation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</si>
</sst>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0" xfId="0" pivotButton="1"/>
    <xf numFmtId="1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6" fillId="4" borderId="6" xfId="0" applyFont="1" applyFill="1" applyBorder="1" applyAlignment="1">
      <alignment horizontal="center" wrapText="1"/>
    </xf>
    <xf numFmtId="2" fontId="0" fillId="0" borderId="7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Question1!$F$2</c:f>
              <c:strCache>
                <c:ptCount val="1"/>
                <c:pt idx="0">
                  <c:v>Productivity_Score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Question1!$A$3:$C$7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Riya</c:v>
                  </c:pt>
                  <c:pt idx="1">
                    <c:v>Rahul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Tanya</c:v>
                  </c:pt>
                </c:lvl>
                <c:lvl>
                  <c:pt idx="0">
                    <c:v>104</c:v>
                  </c:pt>
                  <c:pt idx="1">
                    <c:v>107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125</c:v>
                  </c:pt>
                </c:lvl>
              </c:multiLvlStrCache>
            </c:multiLvlStrRef>
          </c:cat>
          <c:val>
            <c:numRef>
              <c:f>Question1!$F$3:$F$7</c:f>
              <c:numCache>
                <c:formatCode>General</c:formatCode>
                <c:ptCount val="5"/>
                <c:pt idx="0">
                  <c:v>95</c:v>
                </c:pt>
                <c:pt idx="1">
                  <c:v>100</c:v>
                </c:pt>
                <c:pt idx="2">
                  <c:v>98</c:v>
                </c:pt>
                <c:pt idx="3">
                  <c:v>96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C-491F-8D73-31AC7475AB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06726144"/>
        <c:axId val="106727680"/>
      </c:barChart>
      <c:catAx>
        <c:axId val="106726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6727680"/>
        <c:crosses val="autoZero"/>
        <c:auto val="1"/>
        <c:lblAlgn val="ctr"/>
        <c:lblOffset val="100"/>
        <c:noMultiLvlLbl val="0"/>
      </c:catAx>
      <c:valAx>
        <c:axId val="106727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06726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Question_4!$D$3:$D$27</c:f>
              <c:numCache>
                <c:formatCode>General</c:formatCode>
                <c:ptCount val="25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xVal>
          <c:yVal>
            <c:numRef>
              <c:f>Question_4!$E$3:$E$27</c:f>
              <c:numCache>
                <c:formatCode>General</c:formatCode>
                <c:ptCount val="25"/>
                <c:pt idx="0">
                  <c:v>50</c:v>
                </c:pt>
                <c:pt idx="1">
                  <c:v>65</c:v>
                </c:pt>
                <c:pt idx="2">
                  <c:v>40</c:v>
                </c:pt>
                <c:pt idx="3">
                  <c:v>75</c:v>
                </c:pt>
                <c:pt idx="4">
                  <c:v>30</c:v>
                </c:pt>
                <c:pt idx="5">
                  <c:v>58</c:v>
                </c:pt>
                <c:pt idx="6">
                  <c:v>80</c:v>
                </c:pt>
                <c:pt idx="7">
                  <c:v>35</c:v>
                </c:pt>
                <c:pt idx="8">
                  <c:v>70</c:v>
                </c:pt>
                <c:pt idx="9">
                  <c:v>55</c:v>
                </c:pt>
                <c:pt idx="10">
                  <c:v>38</c:v>
                </c:pt>
                <c:pt idx="11">
                  <c:v>73</c:v>
                </c:pt>
                <c:pt idx="12">
                  <c:v>45</c:v>
                </c:pt>
                <c:pt idx="13">
                  <c:v>66</c:v>
                </c:pt>
                <c:pt idx="14">
                  <c:v>78</c:v>
                </c:pt>
                <c:pt idx="15">
                  <c:v>32</c:v>
                </c:pt>
                <c:pt idx="16">
                  <c:v>42</c:v>
                </c:pt>
                <c:pt idx="17">
                  <c:v>75</c:v>
                </c:pt>
                <c:pt idx="18">
                  <c:v>60</c:v>
                </c:pt>
                <c:pt idx="19">
                  <c:v>52</c:v>
                </c:pt>
                <c:pt idx="20">
                  <c:v>34</c:v>
                </c:pt>
                <c:pt idx="21">
                  <c:v>44</c:v>
                </c:pt>
                <c:pt idx="22">
                  <c:v>77</c:v>
                </c:pt>
                <c:pt idx="23">
                  <c:v>48</c:v>
                </c:pt>
                <c:pt idx="24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AB-4D80-ADAB-4AFC93BEE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29696"/>
        <c:axId val="106831232"/>
      </c:scatterChart>
      <c:valAx>
        <c:axId val="10682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831232"/>
        <c:crosses val="autoZero"/>
        <c:crossBetween val="midCat"/>
      </c:valAx>
      <c:valAx>
        <c:axId val="10683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829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strRef>
              <c:f>'Question 4'!$E:$E</c:f>
              <c:strCache>
                <c:ptCount val="30"/>
                <c:pt idx="1">
                  <c:v>Tasks_Completed</c:v>
                </c:pt>
                <c:pt idx="2">
                  <c:v>50</c:v>
                </c:pt>
                <c:pt idx="3">
                  <c:v>65</c:v>
                </c:pt>
                <c:pt idx="4">
                  <c:v>40</c:v>
                </c:pt>
                <c:pt idx="5">
                  <c:v>75</c:v>
                </c:pt>
                <c:pt idx="6">
                  <c:v>30</c:v>
                </c:pt>
                <c:pt idx="7">
                  <c:v>58</c:v>
                </c:pt>
                <c:pt idx="8">
                  <c:v>80</c:v>
                </c:pt>
                <c:pt idx="9">
                  <c:v>35</c:v>
                </c:pt>
                <c:pt idx="10">
                  <c:v>70</c:v>
                </c:pt>
                <c:pt idx="11">
                  <c:v>55</c:v>
                </c:pt>
                <c:pt idx="12">
                  <c:v>38</c:v>
                </c:pt>
                <c:pt idx="13">
                  <c:v>73</c:v>
                </c:pt>
                <c:pt idx="14">
                  <c:v>45</c:v>
                </c:pt>
                <c:pt idx="15">
                  <c:v>66</c:v>
                </c:pt>
                <c:pt idx="16">
                  <c:v>78</c:v>
                </c:pt>
                <c:pt idx="17">
                  <c:v>32</c:v>
                </c:pt>
                <c:pt idx="18">
                  <c:v>42</c:v>
                </c:pt>
                <c:pt idx="19">
                  <c:v>75</c:v>
                </c:pt>
                <c:pt idx="20">
                  <c:v>60</c:v>
                </c:pt>
                <c:pt idx="21">
                  <c:v>52</c:v>
                </c:pt>
                <c:pt idx="22">
                  <c:v>34</c:v>
                </c:pt>
                <c:pt idx="23">
                  <c:v>44</c:v>
                </c:pt>
                <c:pt idx="24">
                  <c:v>77</c:v>
                </c:pt>
                <c:pt idx="25">
                  <c:v>48</c:v>
                </c:pt>
                <c:pt idx="26">
                  <c:v>79</c:v>
                </c:pt>
                <c:pt idx="29">
                  <c:v>0.992760488</c:v>
                </c:pt>
              </c:strCache>
            </c:str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93F-4A24-B6EA-0CD7C739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75904"/>
        <c:axId val="106881792"/>
      </c:scatterChart>
      <c:valAx>
        <c:axId val="10687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06881792"/>
        <c:crosses val="autoZero"/>
        <c:crossBetween val="midCat"/>
      </c:valAx>
      <c:valAx>
        <c:axId val="106881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068759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77296587926505E-2"/>
          <c:y val="2.8252405949256338E-2"/>
          <c:w val="0.88337970253718301"/>
          <c:h val="0.721124599008457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'Question 4'!$E$2</c:f>
              <c:strCache>
                <c:ptCount val="1"/>
                <c:pt idx="0">
                  <c:v>Tasks_Completed</c:v>
                </c:pt>
              </c:strCache>
            </c:strRef>
          </c:tx>
          <c:spPr>
            <a:ln w="28575">
              <a:noFill/>
            </a:ln>
          </c:spPr>
          <c:xVal>
            <c:numRef>
              <c:f>'Question 4'!$D$3:$D$34</c:f>
              <c:numCache>
                <c:formatCode>General</c:formatCode>
                <c:ptCount val="32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xVal>
          <c:yVal>
            <c:numRef>
              <c:f>'Question 4'!$E$3:$E$34</c:f>
              <c:numCache>
                <c:formatCode>General</c:formatCode>
                <c:ptCount val="32"/>
                <c:pt idx="0">
                  <c:v>50</c:v>
                </c:pt>
                <c:pt idx="1">
                  <c:v>65</c:v>
                </c:pt>
                <c:pt idx="2">
                  <c:v>40</c:v>
                </c:pt>
                <c:pt idx="3">
                  <c:v>75</c:v>
                </c:pt>
                <c:pt idx="4">
                  <c:v>30</c:v>
                </c:pt>
                <c:pt idx="5">
                  <c:v>58</c:v>
                </c:pt>
                <c:pt idx="6">
                  <c:v>80</c:v>
                </c:pt>
                <c:pt idx="7">
                  <c:v>35</c:v>
                </c:pt>
                <c:pt idx="8">
                  <c:v>70</c:v>
                </c:pt>
                <c:pt idx="9">
                  <c:v>55</c:v>
                </c:pt>
                <c:pt idx="10">
                  <c:v>38</c:v>
                </c:pt>
                <c:pt idx="11">
                  <c:v>73</c:v>
                </c:pt>
                <c:pt idx="12">
                  <c:v>45</c:v>
                </c:pt>
                <c:pt idx="13">
                  <c:v>66</c:v>
                </c:pt>
                <c:pt idx="14">
                  <c:v>78</c:v>
                </c:pt>
                <c:pt idx="15">
                  <c:v>32</c:v>
                </c:pt>
                <c:pt idx="16">
                  <c:v>42</c:v>
                </c:pt>
                <c:pt idx="17">
                  <c:v>75</c:v>
                </c:pt>
                <c:pt idx="18">
                  <c:v>60</c:v>
                </c:pt>
                <c:pt idx="19">
                  <c:v>52</c:v>
                </c:pt>
                <c:pt idx="20">
                  <c:v>34</c:v>
                </c:pt>
                <c:pt idx="21">
                  <c:v>44</c:v>
                </c:pt>
                <c:pt idx="22">
                  <c:v>77</c:v>
                </c:pt>
                <c:pt idx="23">
                  <c:v>48</c:v>
                </c:pt>
                <c:pt idx="24">
                  <c:v>79</c:v>
                </c:pt>
                <c:pt idx="27">
                  <c:v>0.9927604881227069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1-4342-85D7-DFA0A150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92672"/>
        <c:axId val="171070592"/>
      </c:scatterChart>
      <c:valAx>
        <c:axId val="1068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71070592"/>
        <c:crosses val="autoZero"/>
        <c:crossBetween val="midCat"/>
      </c:valAx>
      <c:valAx>
        <c:axId val="17107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68926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257175</xdr:rowOff>
    </xdr:from>
    <xdr:to>
      <xdr:col>15</xdr:col>
      <xdr:colOff>381000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6</xdr:row>
      <xdr:rowOff>28575</xdr:rowOff>
    </xdr:from>
    <xdr:to>
      <xdr:col>13</xdr:col>
      <xdr:colOff>561975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3</xdr:row>
      <xdr:rowOff>0</xdr:rowOff>
    </xdr:from>
    <xdr:to>
      <xdr:col>13</xdr:col>
      <xdr:colOff>933450</xdr:colOff>
      <xdr:row>13</xdr:row>
      <xdr:rowOff>361950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36</xdr:row>
      <xdr:rowOff>95250</xdr:rowOff>
    </xdr:from>
    <xdr:to>
      <xdr:col>6</xdr:col>
      <xdr:colOff>314325</xdr:colOff>
      <xdr:row>50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48.358081597224" createdVersion="3" refreshedVersion="3" minRefreshableVersion="3" recordCount="25" xr:uid="{00000000-000A-0000-FFFF-FFFF01000000}">
  <cacheSource type="worksheet">
    <worksheetSource ref="A2:G27" sheet="Question2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Sales"/>
        <s v="Marketing"/>
        <s v="HR"/>
        <s v="IT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MixedTypes="1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n v="101"/>
    <s v="Aakash"/>
    <x v="0"/>
    <n v="35"/>
    <n v="50"/>
    <n v="80"/>
    <s v="                                                                                                                                                        "/>
  </r>
  <r>
    <n v="102"/>
    <s v="Meera"/>
    <x v="1"/>
    <n v="40"/>
    <n v="65"/>
    <n v="90"/>
    <n v="5"/>
  </r>
  <r>
    <n v="103"/>
    <s v="Suresh"/>
    <x v="2"/>
    <n v="30"/>
    <n v="40"/>
    <n v="70"/>
    <n v="3"/>
  </r>
  <r>
    <n v="104"/>
    <s v="Riya"/>
    <x v="3"/>
    <n v="45"/>
    <n v="75"/>
    <n v="95"/>
    <n v="5"/>
  </r>
  <r>
    <n v="105"/>
    <s v="Prakash"/>
    <x v="4"/>
    <n v="25"/>
    <n v="30"/>
    <n v="60"/>
    <n v="2"/>
  </r>
  <r>
    <n v="106"/>
    <s v="Neha"/>
    <x v="0"/>
    <n v="38"/>
    <n v="58"/>
    <n v="85"/>
    <n v="4"/>
  </r>
  <r>
    <n v="107"/>
    <s v="Rahul"/>
    <x v="3"/>
    <n v="50"/>
    <n v="80"/>
    <n v="100"/>
    <n v="5"/>
  </r>
  <r>
    <n v="108"/>
    <s v="Priya"/>
    <x v="2"/>
    <n v="28"/>
    <n v="35"/>
    <n v="65"/>
    <n v="3"/>
  </r>
  <r>
    <n v="109"/>
    <s v="Kunal"/>
    <x v="1"/>
    <n v="42"/>
    <n v="70"/>
    <n v="92"/>
    <n v="5"/>
  </r>
  <r>
    <n v="110"/>
    <s v="Sneha"/>
    <x v="0"/>
    <n v="37"/>
    <n v="55"/>
    <n v="83"/>
    <n v="4"/>
  </r>
  <r>
    <n v="111"/>
    <s v="Amit"/>
    <x v="4"/>
    <n v="29"/>
    <n v="38"/>
    <n v="68"/>
    <n v="3"/>
  </r>
  <r>
    <n v="112"/>
    <s v="Pooja"/>
    <x v="1"/>
    <n v="44"/>
    <n v="73"/>
    <n v="94"/>
    <n v="5"/>
  </r>
  <r>
    <n v="113"/>
    <s v="Varun"/>
    <x v="2"/>
    <n v="33"/>
    <n v="45"/>
    <n v="75"/>
    <n v="3"/>
  </r>
  <r>
    <n v="114"/>
    <s v="Deepak"/>
    <x v="0"/>
    <n v="41"/>
    <n v="66"/>
    <n v="89"/>
    <n v="4"/>
  </r>
  <r>
    <n v="115"/>
    <s v="Rakesh"/>
    <x v="3"/>
    <n v="48"/>
    <n v="78"/>
    <n v="98"/>
    <n v="5"/>
  </r>
  <r>
    <n v="116"/>
    <s v="Kavita"/>
    <x v="4"/>
    <n v="26"/>
    <n v="32"/>
    <n v="62"/>
    <n v="2"/>
  </r>
  <r>
    <n v="117"/>
    <s v="Sanjay"/>
    <x v="2"/>
    <n v="31"/>
    <n v="42"/>
    <n v="72"/>
    <n v="3"/>
  </r>
  <r>
    <n v="118"/>
    <s v="Arjun"/>
    <x v="1"/>
    <n v="43"/>
    <n v="75"/>
    <n v="93"/>
    <n v="5"/>
  </r>
  <r>
    <n v="119"/>
    <s v="Anjali"/>
    <x v="3"/>
    <n v="39"/>
    <n v="60"/>
    <n v="87"/>
    <n v="4"/>
  </r>
  <r>
    <n v="120"/>
    <s v="Suman"/>
    <x v="0"/>
    <n v="36"/>
    <n v="52"/>
    <n v="78"/>
    <n v="4"/>
  </r>
  <r>
    <n v="121"/>
    <s v="Mohan"/>
    <x v="4"/>
    <n v="27"/>
    <n v="34"/>
    <n v="64"/>
    <n v="2"/>
  </r>
  <r>
    <n v="122"/>
    <s v="Jyoti"/>
    <x v="2"/>
    <n v="32"/>
    <n v="44"/>
    <n v="74"/>
    <n v="3"/>
  </r>
  <r>
    <n v="123"/>
    <s v="Neeraj"/>
    <x v="1"/>
    <n v="46"/>
    <n v="77"/>
    <n v="96"/>
    <n v="5"/>
  </r>
  <r>
    <n v="124"/>
    <s v="Akash"/>
    <x v="0"/>
    <n v="34"/>
    <n v="48"/>
    <n v="76"/>
    <n v="3"/>
  </r>
  <r>
    <n v="125"/>
    <s v="Tanya"/>
    <x v="3"/>
    <n v="47"/>
    <n v="79"/>
    <n v="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Department">
  <location ref="M3:N9" firstHeaderRow="1" firstDataRow="1" firstDataCol="1"/>
  <pivotFields count="7">
    <pivotField showAll="0"/>
    <pivotField showAll="0"/>
    <pivotField axis="axisRow" showAll="0" stdDevPSubtotal="1">
      <items count="6">
        <item x="4"/>
        <item x="2"/>
        <item x="3"/>
        <item x="1"/>
        <item x="0"/>
        <item t="stdDevP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Productivity_Score" fld="5" subtotal="stdDevp" baseField="0" baseItem="0"/>
  </dataFields>
  <formats count="5">
    <format dxfId="4">
      <pivotArea collapsedLevelsAreSubtotals="1" fieldPosition="0">
        <references count="1">
          <reference field="2" count="1">
            <x v="0"/>
          </reference>
        </references>
      </pivotArea>
    </format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  <format dxfId="1">
      <pivotArea collapsedLevelsAreSubtotals="1" fieldPosition="0">
        <references count="1">
          <reference field="2" count="1">
            <x v="4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E12" sqref="E12"/>
    </sheetView>
  </sheetViews>
  <sheetFormatPr defaultRowHeight="14.4" x14ac:dyDescent="0.3"/>
  <sheetData>
    <row r="1" spans="1:7" ht="21.6" thickBot="1" x14ac:dyDescent="0.45">
      <c r="A1" s="33" t="s">
        <v>47</v>
      </c>
      <c r="B1" s="33"/>
      <c r="C1" s="33"/>
      <c r="D1" s="33"/>
      <c r="E1" s="33"/>
      <c r="F1" s="33"/>
      <c r="G1" s="33"/>
    </row>
    <row r="2" spans="1:7" ht="43.8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ht="15" thickBot="1" x14ac:dyDescent="0.35">
      <c r="A3" s="6">
        <v>104</v>
      </c>
      <c r="B3" s="7" t="s">
        <v>13</v>
      </c>
      <c r="C3" s="7" t="s">
        <v>14</v>
      </c>
      <c r="D3" s="7">
        <v>45</v>
      </c>
      <c r="E3" s="7">
        <v>75</v>
      </c>
      <c r="F3" s="7">
        <v>95</v>
      </c>
      <c r="G3" s="7">
        <v>5</v>
      </c>
    </row>
    <row r="4" spans="1:7" ht="15" thickBot="1" x14ac:dyDescent="0.35">
      <c r="A4" s="4">
        <v>107</v>
      </c>
      <c r="B4" s="5" t="s">
        <v>18</v>
      </c>
      <c r="C4" s="5" t="s">
        <v>14</v>
      </c>
      <c r="D4" s="5">
        <v>50</v>
      </c>
      <c r="E4" s="5">
        <v>80</v>
      </c>
      <c r="F4" s="5">
        <v>100</v>
      </c>
      <c r="G4" s="5">
        <v>5</v>
      </c>
    </row>
    <row r="5" spans="1:7" ht="15" thickBot="1" x14ac:dyDescent="0.35">
      <c r="A5" s="4">
        <v>115</v>
      </c>
      <c r="B5" s="5" t="s">
        <v>26</v>
      </c>
      <c r="C5" s="5" t="s">
        <v>14</v>
      </c>
      <c r="D5" s="5">
        <v>48</v>
      </c>
      <c r="E5" s="5">
        <v>78</v>
      </c>
      <c r="F5" s="5">
        <v>98</v>
      </c>
      <c r="G5" s="5">
        <v>5</v>
      </c>
    </row>
    <row r="6" spans="1:7" ht="29.4" thickBot="1" x14ac:dyDescent="0.35">
      <c r="A6" s="4">
        <v>123</v>
      </c>
      <c r="B6" s="5" t="s">
        <v>34</v>
      </c>
      <c r="C6" s="5" t="s">
        <v>10</v>
      </c>
      <c r="D6" s="5">
        <v>46</v>
      </c>
      <c r="E6" s="5">
        <v>77</v>
      </c>
      <c r="F6" s="5">
        <v>96</v>
      </c>
      <c r="G6" s="5">
        <v>5</v>
      </c>
    </row>
    <row r="7" spans="1:7" ht="15" thickBot="1" x14ac:dyDescent="0.35">
      <c r="A7" s="4">
        <v>125</v>
      </c>
      <c r="B7" s="5" t="s">
        <v>36</v>
      </c>
      <c r="C7" s="5" t="s">
        <v>14</v>
      </c>
      <c r="D7" s="5">
        <v>47</v>
      </c>
      <c r="E7" s="5">
        <v>79</v>
      </c>
      <c r="F7" s="5">
        <v>99</v>
      </c>
      <c r="G7" s="5">
        <v>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"/>
  <sheetViews>
    <sheetView workbookViewId="0">
      <selection activeCell="I5" sqref="I5"/>
    </sheetView>
  </sheetViews>
  <sheetFormatPr defaultRowHeight="14.4" x14ac:dyDescent="0.3"/>
  <cols>
    <col min="5" max="5" width="9" bestFit="1" customWidth="1"/>
    <col min="13" max="13" width="13.109375" customWidth="1"/>
    <col min="14" max="14" width="28.33203125" bestFit="1" customWidth="1"/>
  </cols>
  <sheetData>
    <row r="1" spans="1:16" ht="18.600000000000001" thickBot="1" x14ac:dyDescent="0.4">
      <c r="A1" s="29" t="s">
        <v>48</v>
      </c>
      <c r="B1" s="29"/>
      <c r="C1" s="29"/>
      <c r="D1" s="29"/>
      <c r="E1" s="29"/>
      <c r="F1" s="29"/>
      <c r="G1" s="29"/>
    </row>
    <row r="2" spans="1:16" ht="43.8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16" ht="15" thickBot="1" x14ac:dyDescent="0.35">
      <c r="A3" s="4">
        <v>101</v>
      </c>
      <c r="B3" s="5" t="s">
        <v>7</v>
      </c>
      <c r="C3" s="5" t="s">
        <v>8</v>
      </c>
      <c r="D3" s="5">
        <v>35</v>
      </c>
      <c r="E3" s="5">
        <v>50</v>
      </c>
      <c r="F3" s="5">
        <v>80</v>
      </c>
      <c r="G3" s="5" t="s">
        <v>40</v>
      </c>
      <c r="M3" s="18" t="s">
        <v>2</v>
      </c>
      <c r="N3" t="s">
        <v>44</v>
      </c>
    </row>
    <row r="4" spans="1:16" ht="29.4" thickBot="1" x14ac:dyDescent="0.35">
      <c r="A4" s="6">
        <v>102</v>
      </c>
      <c r="B4" s="7" t="s">
        <v>9</v>
      </c>
      <c r="C4" s="7" t="s">
        <v>10</v>
      </c>
      <c r="D4" s="7">
        <v>40</v>
      </c>
      <c r="E4" s="7">
        <v>65</v>
      </c>
      <c r="F4" s="7">
        <v>90</v>
      </c>
      <c r="G4" s="7">
        <v>5</v>
      </c>
      <c r="M4" s="10" t="s">
        <v>16</v>
      </c>
      <c r="N4" s="19">
        <v>2.9580398915498081</v>
      </c>
    </row>
    <row r="5" spans="1:16" ht="15" thickBot="1" x14ac:dyDescent="0.35">
      <c r="A5" s="4">
        <v>103</v>
      </c>
      <c r="B5" s="5" t="s">
        <v>11</v>
      </c>
      <c r="C5" s="5" t="s">
        <v>12</v>
      </c>
      <c r="D5" s="5">
        <v>30</v>
      </c>
      <c r="E5" s="5">
        <v>40</v>
      </c>
      <c r="F5" s="5">
        <v>70</v>
      </c>
      <c r="G5" s="5">
        <v>3</v>
      </c>
      <c r="M5" s="10" t="s">
        <v>12</v>
      </c>
      <c r="N5" s="19">
        <v>3.54400902933387</v>
      </c>
    </row>
    <row r="6" spans="1:16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7">
        <v>95</v>
      </c>
      <c r="G6" s="7">
        <v>5</v>
      </c>
      <c r="M6" s="10" t="s">
        <v>14</v>
      </c>
      <c r="N6" s="19">
        <v>4.7074409183759283</v>
      </c>
    </row>
    <row r="7" spans="1:16" ht="15" thickBot="1" x14ac:dyDescent="0.35">
      <c r="A7" s="4">
        <v>105</v>
      </c>
      <c r="B7" s="5" t="s">
        <v>15</v>
      </c>
      <c r="C7" s="5" t="s">
        <v>16</v>
      </c>
      <c r="D7" s="5">
        <v>25</v>
      </c>
      <c r="E7" s="5">
        <v>30</v>
      </c>
      <c r="F7" s="5">
        <v>60</v>
      </c>
      <c r="G7" s="5">
        <v>2</v>
      </c>
      <c r="M7" s="10" t="s">
        <v>10</v>
      </c>
      <c r="N7">
        <v>2</v>
      </c>
    </row>
    <row r="8" spans="1:16" ht="15" thickBot="1" x14ac:dyDescent="0.35">
      <c r="A8" s="6">
        <v>106</v>
      </c>
      <c r="B8" s="7" t="s">
        <v>17</v>
      </c>
      <c r="C8" s="7" t="s">
        <v>8</v>
      </c>
      <c r="D8" s="7">
        <v>38</v>
      </c>
      <c r="E8" s="7">
        <v>58</v>
      </c>
      <c r="F8" s="7">
        <v>85</v>
      </c>
      <c r="G8" s="7">
        <v>4</v>
      </c>
      <c r="M8" s="10" t="s">
        <v>8</v>
      </c>
      <c r="N8" s="19">
        <v>4.3748015828022293</v>
      </c>
    </row>
    <row r="9" spans="1:16" ht="15" thickBot="1" x14ac:dyDescent="0.35">
      <c r="A9" s="4">
        <v>107</v>
      </c>
      <c r="B9" s="5" t="s">
        <v>18</v>
      </c>
      <c r="C9" s="5" t="s">
        <v>14</v>
      </c>
      <c r="D9" s="5">
        <v>50</v>
      </c>
      <c r="E9" s="5">
        <v>80</v>
      </c>
      <c r="F9" s="5">
        <v>100</v>
      </c>
      <c r="G9" s="5">
        <v>5</v>
      </c>
      <c r="M9" s="10" t="s">
        <v>43</v>
      </c>
      <c r="N9" s="19">
        <v>12.412896519346321</v>
      </c>
    </row>
    <row r="10" spans="1:16" ht="15" thickBot="1" x14ac:dyDescent="0.35">
      <c r="A10" s="6">
        <v>108</v>
      </c>
      <c r="B10" s="7" t="s">
        <v>19</v>
      </c>
      <c r="C10" s="7" t="s">
        <v>12</v>
      </c>
      <c r="D10" s="7">
        <v>28</v>
      </c>
      <c r="E10" s="7">
        <v>35</v>
      </c>
      <c r="F10" s="7">
        <v>65</v>
      </c>
      <c r="G10" s="7">
        <v>3</v>
      </c>
    </row>
    <row r="11" spans="1:16" ht="29.4" thickBot="1" x14ac:dyDescent="0.35">
      <c r="A11" s="4">
        <v>109</v>
      </c>
      <c r="B11" s="5" t="s">
        <v>20</v>
      </c>
      <c r="C11" s="5" t="s">
        <v>10</v>
      </c>
      <c r="D11" s="5">
        <v>42</v>
      </c>
      <c r="E11" s="5">
        <v>70</v>
      </c>
      <c r="F11" s="5">
        <v>92</v>
      </c>
      <c r="G11" s="5">
        <v>5</v>
      </c>
    </row>
    <row r="12" spans="1:16" ht="15" thickBot="1" x14ac:dyDescent="0.35">
      <c r="A12" s="6">
        <v>110</v>
      </c>
      <c r="B12" s="7" t="s">
        <v>21</v>
      </c>
      <c r="C12" s="7" t="s">
        <v>8</v>
      </c>
      <c r="D12" s="7">
        <v>37</v>
      </c>
      <c r="E12" s="7">
        <v>55</v>
      </c>
      <c r="F12" s="7">
        <v>83</v>
      </c>
      <c r="G12" s="7">
        <v>4</v>
      </c>
      <c r="M12" s="20" t="s">
        <v>45</v>
      </c>
      <c r="N12" s="21"/>
      <c r="O12" s="21"/>
      <c r="P12" s="21"/>
    </row>
    <row r="13" spans="1:16" ht="15" thickBot="1" x14ac:dyDescent="0.35">
      <c r="A13" s="4">
        <v>111</v>
      </c>
      <c r="B13" s="5" t="s">
        <v>22</v>
      </c>
      <c r="C13" s="5" t="s">
        <v>16</v>
      </c>
      <c r="D13" s="5">
        <v>29</v>
      </c>
      <c r="E13" s="5">
        <v>38</v>
      </c>
      <c r="F13" s="5">
        <v>68</v>
      </c>
      <c r="G13" s="5">
        <v>3</v>
      </c>
    </row>
    <row r="14" spans="1:16" ht="29.4" thickBot="1" x14ac:dyDescent="0.35">
      <c r="A14" s="6">
        <v>112</v>
      </c>
      <c r="B14" s="7" t="s">
        <v>23</v>
      </c>
      <c r="C14" s="7" t="s">
        <v>10</v>
      </c>
      <c r="D14" s="7">
        <v>44</v>
      </c>
      <c r="E14" s="7">
        <v>73</v>
      </c>
      <c r="F14" s="7">
        <v>94</v>
      </c>
      <c r="G14" s="7">
        <v>5</v>
      </c>
    </row>
    <row r="15" spans="1:16" ht="15" thickBot="1" x14ac:dyDescent="0.35">
      <c r="A15" s="4">
        <v>113</v>
      </c>
      <c r="B15" s="5" t="s">
        <v>24</v>
      </c>
      <c r="C15" s="5" t="s">
        <v>12</v>
      </c>
      <c r="D15" s="5">
        <v>33</v>
      </c>
      <c r="E15" s="5">
        <v>45</v>
      </c>
      <c r="F15" s="5">
        <v>75</v>
      </c>
      <c r="G15" s="5">
        <v>3</v>
      </c>
    </row>
    <row r="16" spans="1:16" ht="15" thickBot="1" x14ac:dyDescent="0.35">
      <c r="A16" s="6">
        <v>114</v>
      </c>
      <c r="B16" s="7" t="s">
        <v>25</v>
      </c>
      <c r="C16" s="7" t="s">
        <v>8</v>
      </c>
      <c r="D16" s="7">
        <v>41</v>
      </c>
      <c r="E16" s="7">
        <v>66</v>
      </c>
      <c r="F16" s="7">
        <v>89</v>
      </c>
      <c r="G16" s="7">
        <v>4</v>
      </c>
    </row>
    <row r="17" spans="1:7" ht="15" thickBot="1" x14ac:dyDescent="0.35">
      <c r="A17" s="4">
        <v>115</v>
      </c>
      <c r="B17" s="5" t="s">
        <v>26</v>
      </c>
      <c r="C17" s="5" t="s">
        <v>14</v>
      </c>
      <c r="D17" s="5">
        <v>48</v>
      </c>
      <c r="E17" s="5">
        <v>78</v>
      </c>
      <c r="F17" s="5">
        <v>98</v>
      </c>
      <c r="G17" s="5">
        <v>5</v>
      </c>
    </row>
    <row r="18" spans="1:7" ht="15" thickBot="1" x14ac:dyDescent="0.35">
      <c r="A18" s="6">
        <v>116</v>
      </c>
      <c r="B18" s="7" t="s">
        <v>27</v>
      </c>
      <c r="C18" s="7" t="s">
        <v>16</v>
      </c>
      <c r="D18" s="7">
        <v>26</v>
      </c>
      <c r="E18" s="7">
        <v>32</v>
      </c>
      <c r="F18" s="7">
        <v>62</v>
      </c>
      <c r="G18" s="7">
        <v>2</v>
      </c>
    </row>
    <row r="19" spans="1:7" ht="15" thickBot="1" x14ac:dyDescent="0.35">
      <c r="A19" s="4">
        <v>117</v>
      </c>
      <c r="B19" s="5" t="s">
        <v>28</v>
      </c>
      <c r="C19" s="5" t="s">
        <v>12</v>
      </c>
      <c r="D19" s="5">
        <v>31</v>
      </c>
      <c r="E19" s="5">
        <v>42</v>
      </c>
      <c r="F19" s="5">
        <v>72</v>
      </c>
      <c r="G19" s="5">
        <v>3</v>
      </c>
    </row>
    <row r="20" spans="1:7" ht="29.4" thickBot="1" x14ac:dyDescent="0.35">
      <c r="A20" s="6">
        <v>118</v>
      </c>
      <c r="B20" s="7" t="s">
        <v>29</v>
      </c>
      <c r="C20" s="7" t="s">
        <v>10</v>
      </c>
      <c r="D20" s="7">
        <v>43</v>
      </c>
      <c r="E20" s="7">
        <v>75</v>
      </c>
      <c r="F20" s="7">
        <v>93</v>
      </c>
      <c r="G20" s="7">
        <v>5</v>
      </c>
    </row>
    <row r="21" spans="1:7" ht="15" thickBot="1" x14ac:dyDescent="0.35">
      <c r="A21" s="4">
        <v>119</v>
      </c>
      <c r="B21" s="5" t="s">
        <v>30</v>
      </c>
      <c r="C21" s="5" t="s">
        <v>14</v>
      </c>
      <c r="D21" s="5">
        <v>39</v>
      </c>
      <c r="E21" s="5">
        <v>60</v>
      </c>
      <c r="F21" s="5">
        <v>87</v>
      </c>
      <c r="G21" s="5">
        <v>4</v>
      </c>
    </row>
    <row r="22" spans="1:7" ht="15" thickBot="1" x14ac:dyDescent="0.35">
      <c r="A22" s="6">
        <v>120</v>
      </c>
      <c r="B22" s="7" t="s">
        <v>31</v>
      </c>
      <c r="C22" s="7" t="s">
        <v>8</v>
      </c>
      <c r="D22" s="7">
        <v>36</v>
      </c>
      <c r="E22" s="7">
        <v>52</v>
      </c>
      <c r="F22" s="7">
        <v>78</v>
      </c>
      <c r="G22" s="7">
        <v>4</v>
      </c>
    </row>
    <row r="23" spans="1:7" ht="15" thickBot="1" x14ac:dyDescent="0.35">
      <c r="A23" s="4">
        <v>121</v>
      </c>
      <c r="B23" s="5" t="s">
        <v>32</v>
      </c>
      <c r="C23" s="5" t="s">
        <v>16</v>
      </c>
      <c r="D23" s="5">
        <v>27</v>
      </c>
      <c r="E23" s="5">
        <v>34</v>
      </c>
      <c r="F23" s="5">
        <v>64</v>
      </c>
      <c r="G23" s="5">
        <v>2</v>
      </c>
    </row>
    <row r="24" spans="1:7" ht="15" thickBot="1" x14ac:dyDescent="0.35">
      <c r="A24" s="6">
        <v>122</v>
      </c>
      <c r="B24" s="7" t="s">
        <v>33</v>
      </c>
      <c r="C24" s="7" t="s">
        <v>12</v>
      </c>
      <c r="D24" s="7">
        <v>32</v>
      </c>
      <c r="E24" s="7">
        <v>44</v>
      </c>
      <c r="F24" s="7">
        <v>74</v>
      </c>
      <c r="G24" s="7">
        <v>3</v>
      </c>
    </row>
    <row r="25" spans="1:7" ht="29.4" thickBot="1" x14ac:dyDescent="0.35">
      <c r="A25" s="4">
        <v>123</v>
      </c>
      <c r="B25" s="5" t="s">
        <v>34</v>
      </c>
      <c r="C25" s="5" t="s">
        <v>10</v>
      </c>
      <c r="D25" s="5">
        <v>46</v>
      </c>
      <c r="E25" s="5">
        <v>77</v>
      </c>
      <c r="F25" s="5">
        <v>96</v>
      </c>
      <c r="G25" s="5">
        <v>5</v>
      </c>
    </row>
    <row r="26" spans="1:7" ht="15" thickBot="1" x14ac:dyDescent="0.35">
      <c r="A26" s="6">
        <v>124</v>
      </c>
      <c r="B26" s="7" t="s">
        <v>35</v>
      </c>
      <c r="C26" s="7" t="s">
        <v>8</v>
      </c>
      <c r="D26" s="7">
        <v>34</v>
      </c>
      <c r="E26" s="7">
        <v>48</v>
      </c>
      <c r="F26" s="7">
        <v>76</v>
      </c>
      <c r="G26" s="7">
        <v>3</v>
      </c>
    </row>
    <row r="27" spans="1:7" ht="15" thickBot="1" x14ac:dyDescent="0.35">
      <c r="A27" s="4">
        <v>125</v>
      </c>
      <c r="B27" s="5" t="s">
        <v>36</v>
      </c>
      <c r="C27" s="5" t="s">
        <v>14</v>
      </c>
      <c r="D27" s="5">
        <v>47</v>
      </c>
      <c r="E27" s="5">
        <v>79</v>
      </c>
      <c r="F27" s="5">
        <v>99</v>
      </c>
      <c r="G27" s="5">
        <v>5</v>
      </c>
    </row>
  </sheetData>
  <mergeCells count="1">
    <mergeCell ref="A1:G1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D15" sqref="D15"/>
    </sheetView>
  </sheetViews>
  <sheetFormatPr defaultRowHeight="14.4" x14ac:dyDescent="0.3"/>
  <cols>
    <col min="1" max="1" width="12" customWidth="1"/>
    <col min="2" max="2" width="13.6640625" customWidth="1"/>
    <col min="3" max="3" width="13.44140625" customWidth="1"/>
    <col min="4" max="4" width="14" customWidth="1"/>
    <col min="5" max="5" width="14.109375" customWidth="1"/>
    <col min="6" max="6" width="14.33203125" customWidth="1"/>
    <col min="7" max="7" width="17" customWidth="1"/>
    <col min="8" max="8" width="11.5546875" bestFit="1" customWidth="1"/>
  </cols>
  <sheetData>
    <row r="1" spans="1:8" ht="21.6" thickBot="1" x14ac:dyDescent="0.45">
      <c r="A1" s="32" t="s">
        <v>49</v>
      </c>
      <c r="B1" s="32"/>
      <c r="C1" s="32"/>
      <c r="D1" s="32"/>
      <c r="E1" s="32"/>
      <c r="F1" s="32"/>
      <c r="G1" s="32"/>
      <c r="H1" s="32"/>
    </row>
    <row r="2" spans="1:8" ht="29.4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8" t="s">
        <v>37</v>
      </c>
    </row>
    <row r="3" spans="1:8" ht="15" thickBot="1" x14ac:dyDescent="0.35">
      <c r="A3" s="6">
        <v>102</v>
      </c>
      <c r="B3" s="7" t="s">
        <v>9</v>
      </c>
      <c r="C3" s="7" t="s">
        <v>10</v>
      </c>
      <c r="D3" s="7">
        <v>40</v>
      </c>
      <c r="E3" s="7">
        <v>65</v>
      </c>
      <c r="F3" s="7">
        <v>90</v>
      </c>
      <c r="G3" s="7">
        <v>5</v>
      </c>
      <c r="H3" s="9">
        <v>11.25</v>
      </c>
    </row>
    <row r="4" spans="1:8" ht="15" thickBot="1" x14ac:dyDescent="0.35">
      <c r="A4" s="4">
        <v>109</v>
      </c>
      <c r="B4" s="5" t="s">
        <v>20</v>
      </c>
      <c r="C4" s="5" t="s">
        <v>10</v>
      </c>
      <c r="D4" s="5">
        <v>42</v>
      </c>
      <c r="E4" s="5">
        <v>70</v>
      </c>
      <c r="F4" s="5">
        <v>92</v>
      </c>
      <c r="G4" s="5">
        <v>5</v>
      </c>
      <c r="H4" s="9">
        <v>10.952380952381001</v>
      </c>
    </row>
    <row r="5" spans="1:8" ht="15" thickBot="1" x14ac:dyDescent="0.35">
      <c r="A5" s="6">
        <v>118</v>
      </c>
      <c r="B5" s="7" t="s">
        <v>29</v>
      </c>
      <c r="C5" s="7" t="s">
        <v>10</v>
      </c>
      <c r="D5" s="7">
        <v>43</v>
      </c>
      <c r="E5" s="7">
        <v>75</v>
      </c>
      <c r="F5" s="7">
        <v>93</v>
      </c>
      <c r="G5" s="7">
        <v>5</v>
      </c>
      <c r="H5" s="9">
        <v>10.813953488372093</v>
      </c>
    </row>
    <row r="14" spans="1:8" x14ac:dyDescent="0.3">
      <c r="E14" t="s">
        <v>39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workbookViewId="0">
      <selection activeCell="L5" sqref="L5"/>
    </sheetView>
  </sheetViews>
  <sheetFormatPr defaultRowHeight="14.4" x14ac:dyDescent="0.3"/>
  <cols>
    <col min="3" max="3" width="14.5546875" customWidth="1"/>
    <col min="4" max="4" width="12.33203125" customWidth="1"/>
    <col min="5" max="5" width="12.109375" customWidth="1"/>
    <col min="6" max="6" width="12" customWidth="1"/>
    <col min="7" max="7" width="19.6640625" customWidth="1"/>
    <col min="12" max="12" width="11.33203125" customWidth="1"/>
    <col min="13" max="13" width="26.88671875" customWidth="1"/>
    <col min="14" max="14" width="15.44140625" customWidth="1"/>
    <col min="15" max="15" width="13.109375" customWidth="1"/>
    <col min="16" max="36" width="3" customWidth="1"/>
    <col min="37" max="37" width="4" customWidth="1"/>
    <col min="38" max="38" width="11.33203125" bestFit="1" customWidth="1"/>
  </cols>
  <sheetData>
    <row r="1" spans="1:7" ht="24" thickBot="1" x14ac:dyDescent="0.5">
      <c r="A1" s="31" t="s">
        <v>53</v>
      </c>
      <c r="B1" s="31"/>
      <c r="C1" s="31"/>
      <c r="D1" s="31"/>
      <c r="E1" s="31"/>
      <c r="F1" s="31"/>
      <c r="G1" s="31"/>
    </row>
    <row r="2" spans="1:7" ht="29.4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ht="15" thickBot="1" x14ac:dyDescent="0.35">
      <c r="A3" s="4">
        <v>101</v>
      </c>
      <c r="B3" s="5" t="s">
        <v>7</v>
      </c>
      <c r="C3" s="5" t="s">
        <v>8</v>
      </c>
      <c r="D3" s="5">
        <v>35</v>
      </c>
      <c r="E3" s="5">
        <v>50</v>
      </c>
      <c r="F3" s="5">
        <v>80</v>
      </c>
      <c r="G3" s="5">
        <v>4</v>
      </c>
    </row>
    <row r="4" spans="1:7" ht="15" thickBot="1" x14ac:dyDescent="0.35">
      <c r="A4" s="6">
        <v>102</v>
      </c>
      <c r="B4" s="7" t="s">
        <v>9</v>
      </c>
      <c r="C4" s="7" t="s">
        <v>10</v>
      </c>
      <c r="D4" s="7">
        <v>40</v>
      </c>
      <c r="E4" s="7">
        <v>65</v>
      </c>
      <c r="F4" s="7">
        <v>90</v>
      </c>
      <c r="G4" s="7">
        <v>5</v>
      </c>
    </row>
    <row r="5" spans="1:7" ht="15" thickBot="1" x14ac:dyDescent="0.35">
      <c r="A5" s="4">
        <v>103</v>
      </c>
      <c r="B5" s="5" t="s">
        <v>11</v>
      </c>
      <c r="C5" s="5" t="s">
        <v>12</v>
      </c>
      <c r="D5" s="5">
        <v>30</v>
      </c>
      <c r="E5" s="5">
        <v>40</v>
      </c>
      <c r="F5" s="5">
        <v>70</v>
      </c>
      <c r="G5" s="5">
        <v>3</v>
      </c>
    </row>
    <row r="6" spans="1:7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7">
        <v>95</v>
      </c>
      <c r="G6" s="7">
        <v>5</v>
      </c>
    </row>
    <row r="7" spans="1:7" ht="15" thickBot="1" x14ac:dyDescent="0.35">
      <c r="A7" s="4">
        <v>105</v>
      </c>
      <c r="B7" s="5" t="s">
        <v>15</v>
      </c>
      <c r="C7" s="5" t="s">
        <v>16</v>
      </c>
      <c r="D7" s="5">
        <v>25</v>
      </c>
      <c r="E7" s="5">
        <v>30</v>
      </c>
      <c r="F7" s="5">
        <v>60</v>
      </c>
      <c r="G7" s="5">
        <v>2</v>
      </c>
    </row>
    <row r="8" spans="1:7" ht="15" thickBot="1" x14ac:dyDescent="0.35">
      <c r="A8" s="6">
        <v>106</v>
      </c>
      <c r="B8" s="7" t="s">
        <v>17</v>
      </c>
      <c r="C8" s="7" t="s">
        <v>8</v>
      </c>
      <c r="D8" s="7">
        <v>38</v>
      </c>
      <c r="E8" s="7">
        <v>58</v>
      </c>
      <c r="F8" s="7">
        <v>85</v>
      </c>
      <c r="G8" s="7">
        <v>4</v>
      </c>
    </row>
    <row r="9" spans="1:7" ht="15" thickBot="1" x14ac:dyDescent="0.35">
      <c r="A9" s="4">
        <v>107</v>
      </c>
      <c r="B9" s="5" t="s">
        <v>18</v>
      </c>
      <c r="C9" s="5" t="s">
        <v>14</v>
      </c>
      <c r="D9" s="5">
        <v>50</v>
      </c>
      <c r="E9" s="5">
        <v>80</v>
      </c>
      <c r="F9" s="5">
        <v>100</v>
      </c>
      <c r="G9" s="5">
        <v>5</v>
      </c>
    </row>
    <row r="10" spans="1:7" ht="15" thickBot="1" x14ac:dyDescent="0.35">
      <c r="A10" s="6">
        <v>108</v>
      </c>
      <c r="B10" s="7" t="s">
        <v>19</v>
      </c>
      <c r="C10" s="7" t="s">
        <v>12</v>
      </c>
      <c r="D10" s="7">
        <v>28</v>
      </c>
      <c r="E10" s="7">
        <v>35</v>
      </c>
      <c r="F10" s="7">
        <v>65</v>
      </c>
      <c r="G10" s="7">
        <v>3</v>
      </c>
    </row>
    <row r="11" spans="1:7" ht="15" thickBot="1" x14ac:dyDescent="0.35">
      <c r="A11" s="4">
        <v>109</v>
      </c>
      <c r="B11" s="5" t="s">
        <v>20</v>
      </c>
      <c r="C11" s="5" t="s">
        <v>10</v>
      </c>
      <c r="D11" s="5">
        <v>42</v>
      </c>
      <c r="E11" s="5">
        <v>70</v>
      </c>
      <c r="F11" s="5">
        <v>92</v>
      </c>
      <c r="G11" s="5">
        <v>5</v>
      </c>
    </row>
    <row r="12" spans="1:7" ht="15" thickBot="1" x14ac:dyDescent="0.35">
      <c r="A12" s="6">
        <v>110</v>
      </c>
      <c r="B12" s="7" t="s">
        <v>21</v>
      </c>
      <c r="C12" s="7" t="s">
        <v>8</v>
      </c>
      <c r="D12" s="7">
        <v>37</v>
      </c>
      <c r="E12" s="7">
        <v>55</v>
      </c>
      <c r="F12" s="7">
        <v>83</v>
      </c>
      <c r="G12" s="7">
        <v>4</v>
      </c>
    </row>
    <row r="13" spans="1:7" ht="15" thickBot="1" x14ac:dyDescent="0.35">
      <c r="A13" s="4">
        <v>111</v>
      </c>
      <c r="B13" s="5" t="s">
        <v>22</v>
      </c>
      <c r="C13" s="5" t="s">
        <v>16</v>
      </c>
      <c r="D13" s="5">
        <v>29</v>
      </c>
      <c r="E13" s="5">
        <v>38</v>
      </c>
      <c r="F13" s="5">
        <v>68</v>
      </c>
      <c r="G13" s="5">
        <v>3</v>
      </c>
    </row>
    <row r="14" spans="1:7" ht="15" thickBot="1" x14ac:dyDescent="0.35">
      <c r="A14" s="6">
        <v>112</v>
      </c>
      <c r="B14" s="7" t="s">
        <v>23</v>
      </c>
      <c r="C14" s="7" t="s">
        <v>10</v>
      </c>
      <c r="D14" s="7">
        <v>44</v>
      </c>
      <c r="E14" s="7">
        <v>73</v>
      </c>
      <c r="F14" s="7">
        <v>94</v>
      </c>
      <c r="G14" s="7">
        <v>5</v>
      </c>
    </row>
    <row r="15" spans="1:7" ht="15" thickBot="1" x14ac:dyDescent="0.35">
      <c r="A15" s="4">
        <v>113</v>
      </c>
      <c r="B15" s="5" t="s">
        <v>24</v>
      </c>
      <c r="C15" s="5" t="s">
        <v>12</v>
      </c>
      <c r="D15" s="5">
        <v>33</v>
      </c>
      <c r="E15" s="5">
        <v>45</v>
      </c>
      <c r="F15" s="5">
        <v>75</v>
      </c>
      <c r="G15" s="5">
        <v>3</v>
      </c>
    </row>
    <row r="16" spans="1:7" ht="15" thickBot="1" x14ac:dyDescent="0.35">
      <c r="A16" s="6">
        <v>114</v>
      </c>
      <c r="B16" s="7" t="s">
        <v>25</v>
      </c>
      <c r="C16" s="7" t="s">
        <v>8</v>
      </c>
      <c r="D16" s="7">
        <v>41</v>
      </c>
      <c r="E16" s="7">
        <v>66</v>
      </c>
      <c r="F16" s="7">
        <v>89</v>
      </c>
      <c r="G16" s="7">
        <v>4</v>
      </c>
    </row>
    <row r="17" spans="1:12" ht="15" thickBot="1" x14ac:dyDescent="0.35">
      <c r="A17" s="4">
        <v>115</v>
      </c>
      <c r="B17" s="5" t="s">
        <v>26</v>
      </c>
      <c r="C17" s="5" t="s">
        <v>14</v>
      </c>
      <c r="D17" s="5">
        <v>48</v>
      </c>
      <c r="E17" s="5">
        <v>78</v>
      </c>
      <c r="F17" s="5">
        <v>98</v>
      </c>
      <c r="G17" s="5">
        <v>5</v>
      </c>
      <c r="L17" s="10"/>
    </row>
    <row r="18" spans="1:12" ht="15" thickBot="1" x14ac:dyDescent="0.35">
      <c r="A18" s="6">
        <v>116</v>
      </c>
      <c r="B18" s="7" t="s">
        <v>27</v>
      </c>
      <c r="C18" s="7" t="s">
        <v>16</v>
      </c>
      <c r="D18" s="7">
        <v>26</v>
      </c>
      <c r="E18" s="7">
        <v>32</v>
      </c>
      <c r="F18" s="7">
        <v>62</v>
      </c>
      <c r="G18" s="7">
        <v>2</v>
      </c>
      <c r="L18" s="10"/>
    </row>
    <row r="19" spans="1:12" ht="15" thickBot="1" x14ac:dyDescent="0.35">
      <c r="A19" s="4">
        <v>117</v>
      </c>
      <c r="B19" s="5" t="s">
        <v>28</v>
      </c>
      <c r="C19" s="5" t="s">
        <v>12</v>
      </c>
      <c r="D19" s="5">
        <v>31</v>
      </c>
      <c r="E19" s="5">
        <v>42</v>
      </c>
      <c r="F19" s="5">
        <v>72</v>
      </c>
      <c r="G19" s="5">
        <v>3</v>
      </c>
      <c r="L19" s="10"/>
    </row>
    <row r="20" spans="1:12" ht="15" thickBot="1" x14ac:dyDescent="0.35">
      <c r="A20" s="6">
        <v>118</v>
      </c>
      <c r="B20" s="7" t="s">
        <v>29</v>
      </c>
      <c r="C20" s="7" t="s">
        <v>10</v>
      </c>
      <c r="D20" s="7">
        <v>43</v>
      </c>
      <c r="E20" s="7">
        <v>75</v>
      </c>
      <c r="F20" s="7">
        <v>93</v>
      </c>
      <c r="G20" s="7">
        <v>5</v>
      </c>
      <c r="L20" s="10"/>
    </row>
    <row r="21" spans="1:12" ht="15" thickBot="1" x14ac:dyDescent="0.35">
      <c r="A21" s="4">
        <v>119</v>
      </c>
      <c r="B21" s="5" t="s">
        <v>30</v>
      </c>
      <c r="C21" s="5" t="s">
        <v>14</v>
      </c>
      <c r="D21" s="5">
        <v>39</v>
      </c>
      <c r="E21" s="5">
        <v>60</v>
      </c>
      <c r="F21" s="5">
        <v>87</v>
      </c>
      <c r="G21" s="5">
        <v>4</v>
      </c>
      <c r="L21" s="10"/>
    </row>
    <row r="22" spans="1:12" ht="15" thickBot="1" x14ac:dyDescent="0.35">
      <c r="A22" s="6">
        <v>120</v>
      </c>
      <c r="B22" s="7" t="s">
        <v>31</v>
      </c>
      <c r="C22" s="7" t="s">
        <v>8</v>
      </c>
      <c r="D22" s="7">
        <v>36</v>
      </c>
      <c r="E22" s="7">
        <v>52</v>
      </c>
      <c r="F22" s="7">
        <v>78</v>
      </c>
      <c r="G22" s="7">
        <v>4</v>
      </c>
      <c r="L22" s="10"/>
    </row>
    <row r="23" spans="1:12" ht="15" thickBot="1" x14ac:dyDescent="0.35">
      <c r="A23" s="4">
        <v>121</v>
      </c>
      <c r="B23" s="5" t="s">
        <v>32</v>
      </c>
      <c r="C23" s="5" t="s">
        <v>16</v>
      </c>
      <c r="D23" s="5">
        <v>27</v>
      </c>
      <c r="E23" s="5">
        <v>34</v>
      </c>
      <c r="F23" s="5">
        <v>64</v>
      </c>
      <c r="G23" s="5">
        <v>2</v>
      </c>
    </row>
    <row r="24" spans="1:12" ht="15" thickBot="1" x14ac:dyDescent="0.35">
      <c r="A24" s="6">
        <v>122</v>
      </c>
      <c r="B24" s="7" t="s">
        <v>33</v>
      </c>
      <c r="C24" s="7" t="s">
        <v>12</v>
      </c>
      <c r="D24" s="7">
        <v>32</v>
      </c>
      <c r="E24" s="7">
        <v>44</v>
      </c>
      <c r="F24" s="7">
        <v>74</v>
      </c>
      <c r="G24" s="7">
        <v>3</v>
      </c>
    </row>
    <row r="25" spans="1:12" ht="15" thickBot="1" x14ac:dyDescent="0.35">
      <c r="A25" s="4">
        <v>123</v>
      </c>
      <c r="B25" s="5" t="s">
        <v>34</v>
      </c>
      <c r="C25" s="5" t="s">
        <v>10</v>
      </c>
      <c r="D25" s="5">
        <v>46</v>
      </c>
      <c r="E25" s="5">
        <v>77</v>
      </c>
      <c r="F25" s="5">
        <v>96</v>
      </c>
      <c r="G25" s="5">
        <v>5</v>
      </c>
    </row>
    <row r="26" spans="1:12" ht="15" thickBot="1" x14ac:dyDescent="0.35">
      <c r="A26" s="6">
        <v>124</v>
      </c>
      <c r="B26" s="7" t="s">
        <v>35</v>
      </c>
      <c r="C26" s="7" t="s">
        <v>8</v>
      </c>
      <c r="D26" s="7">
        <v>34</v>
      </c>
      <c r="E26" s="7">
        <v>48</v>
      </c>
      <c r="F26" s="7">
        <v>76</v>
      </c>
      <c r="G26" s="7">
        <v>3</v>
      </c>
    </row>
    <row r="27" spans="1:12" ht="15" thickBot="1" x14ac:dyDescent="0.35">
      <c r="A27" s="4">
        <v>125</v>
      </c>
      <c r="B27" s="5" t="s">
        <v>36</v>
      </c>
      <c r="C27" s="5" t="s">
        <v>14</v>
      </c>
      <c r="D27" s="5">
        <v>47</v>
      </c>
      <c r="E27" s="5">
        <v>79</v>
      </c>
      <c r="F27" s="5">
        <v>99</v>
      </c>
      <c r="G27" s="5">
        <v>5</v>
      </c>
    </row>
    <row r="31" spans="1:12" x14ac:dyDescent="0.3">
      <c r="C31" s="23" t="s">
        <v>38</v>
      </c>
      <c r="D31" s="23">
        <f>CORREL(D3:D27,E3:E27)</f>
        <v>0.9927604881227069</v>
      </c>
    </row>
  </sheetData>
  <autoFilter ref="A2:AL27" xr:uid="{00000000-0009-0000-0000-000004000000}"/>
  <dataConsolidate/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workbookViewId="0">
      <selection sqref="A1:G1"/>
    </sheetView>
  </sheetViews>
  <sheetFormatPr defaultRowHeight="14.4" x14ac:dyDescent="0.3"/>
  <cols>
    <col min="1" max="1" width="14.5546875" customWidth="1"/>
    <col min="2" max="2" width="14" customWidth="1"/>
    <col min="3" max="3" width="9" bestFit="1" customWidth="1"/>
    <col min="4" max="4" width="17" customWidth="1"/>
    <col min="5" max="6" width="9" bestFit="1" customWidth="1"/>
    <col min="7" max="7" width="19.33203125" bestFit="1" customWidth="1"/>
    <col min="11" max="11" width="13.109375" customWidth="1"/>
    <col min="12" max="12" width="21.109375" customWidth="1"/>
    <col min="13" max="13" width="23.5546875" customWidth="1"/>
    <col min="14" max="14" width="21.109375" customWidth="1"/>
    <col min="15" max="37" width="3" customWidth="1"/>
    <col min="38" max="38" width="11.33203125" bestFit="1" customWidth="1"/>
  </cols>
  <sheetData>
    <row r="1" spans="1:11" ht="21.6" thickBot="1" x14ac:dyDescent="0.45">
      <c r="A1" s="30" t="s">
        <v>50</v>
      </c>
      <c r="B1" s="30"/>
      <c r="C1" s="30"/>
      <c r="D1" s="30"/>
      <c r="E1" s="30"/>
      <c r="F1" s="30"/>
      <c r="G1" s="30"/>
    </row>
    <row r="2" spans="1:11" ht="43.8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11" ht="15" thickBot="1" x14ac:dyDescent="0.35">
      <c r="A3" s="4">
        <v>101</v>
      </c>
      <c r="B3" s="5" t="s">
        <v>7</v>
      </c>
      <c r="C3" s="5" t="s">
        <v>8</v>
      </c>
      <c r="D3" s="5">
        <v>35</v>
      </c>
      <c r="E3" s="5">
        <v>50</v>
      </c>
      <c r="F3" s="5">
        <v>80</v>
      </c>
      <c r="G3" s="5" t="s">
        <v>40</v>
      </c>
    </row>
    <row r="4" spans="1:11" ht="29.4" thickBot="1" x14ac:dyDescent="0.35">
      <c r="A4" s="6">
        <v>102</v>
      </c>
      <c r="B4" s="7" t="s">
        <v>9</v>
      </c>
      <c r="C4" s="7" t="s">
        <v>10</v>
      </c>
      <c r="D4" s="7">
        <v>40</v>
      </c>
      <c r="E4" s="7">
        <v>65</v>
      </c>
      <c r="F4" s="7">
        <v>90</v>
      </c>
      <c r="G4" s="7">
        <v>5</v>
      </c>
    </row>
    <row r="5" spans="1:11" ht="15" thickBot="1" x14ac:dyDescent="0.35">
      <c r="A5" s="4">
        <v>103</v>
      </c>
      <c r="B5" s="5" t="s">
        <v>11</v>
      </c>
      <c r="C5" s="5" t="s">
        <v>12</v>
      </c>
      <c r="D5" s="5">
        <v>30</v>
      </c>
      <c r="E5" s="5">
        <v>40</v>
      </c>
      <c r="F5" s="5">
        <v>70</v>
      </c>
      <c r="G5" s="5">
        <v>3</v>
      </c>
    </row>
    <row r="6" spans="1:11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7">
        <v>95</v>
      </c>
      <c r="G6" s="7">
        <v>5</v>
      </c>
    </row>
    <row r="7" spans="1:11" ht="15" thickBot="1" x14ac:dyDescent="0.35">
      <c r="A7" s="4">
        <v>105</v>
      </c>
      <c r="B7" s="5" t="s">
        <v>15</v>
      </c>
      <c r="C7" s="5" t="s">
        <v>16</v>
      </c>
      <c r="D7" s="5">
        <v>25</v>
      </c>
      <c r="E7" s="5">
        <v>30</v>
      </c>
      <c r="F7" s="5">
        <v>60</v>
      </c>
      <c r="G7" s="5">
        <v>2</v>
      </c>
    </row>
    <row r="8" spans="1:11" ht="15" thickBot="1" x14ac:dyDescent="0.35">
      <c r="A8" s="6">
        <v>106</v>
      </c>
      <c r="B8" s="7" t="s">
        <v>17</v>
      </c>
      <c r="C8" s="7" t="s">
        <v>8</v>
      </c>
      <c r="D8" s="7">
        <v>38</v>
      </c>
      <c r="E8" s="7">
        <v>58</v>
      </c>
      <c r="F8" s="7">
        <v>85</v>
      </c>
      <c r="G8" s="7">
        <v>4</v>
      </c>
      <c r="K8" s="10"/>
    </row>
    <row r="9" spans="1:11" ht="15" thickBot="1" x14ac:dyDescent="0.35">
      <c r="A9" s="4">
        <v>107</v>
      </c>
      <c r="B9" s="5" t="s">
        <v>18</v>
      </c>
      <c r="C9" s="5" t="s">
        <v>14</v>
      </c>
      <c r="D9" s="5">
        <v>50</v>
      </c>
      <c r="E9" s="5">
        <v>80</v>
      </c>
      <c r="F9" s="5">
        <v>100</v>
      </c>
      <c r="G9" s="5">
        <v>5</v>
      </c>
      <c r="K9" s="10"/>
    </row>
    <row r="10" spans="1:11" ht="15" thickBot="1" x14ac:dyDescent="0.35">
      <c r="A10" s="6">
        <v>108</v>
      </c>
      <c r="B10" s="7" t="s">
        <v>19</v>
      </c>
      <c r="C10" s="7" t="s">
        <v>12</v>
      </c>
      <c r="D10" s="7">
        <v>28</v>
      </c>
      <c r="E10" s="7">
        <v>35</v>
      </c>
      <c r="F10" s="7">
        <v>65</v>
      </c>
      <c r="G10" s="7">
        <v>3</v>
      </c>
      <c r="K10" s="10"/>
    </row>
    <row r="11" spans="1:11" ht="29.4" thickBot="1" x14ac:dyDescent="0.35">
      <c r="A11" s="4">
        <v>109</v>
      </c>
      <c r="B11" s="5" t="s">
        <v>20</v>
      </c>
      <c r="C11" s="5" t="s">
        <v>10</v>
      </c>
      <c r="D11" s="5">
        <v>42</v>
      </c>
      <c r="E11" s="5">
        <v>70</v>
      </c>
      <c r="F11" s="5">
        <v>92</v>
      </c>
      <c r="G11" s="5">
        <v>5</v>
      </c>
      <c r="K11" s="10"/>
    </row>
    <row r="12" spans="1:11" ht="15" thickBot="1" x14ac:dyDescent="0.35">
      <c r="A12" s="6">
        <v>110</v>
      </c>
      <c r="B12" s="7" t="s">
        <v>21</v>
      </c>
      <c r="C12" s="7" t="s">
        <v>8</v>
      </c>
      <c r="D12" s="7">
        <v>37</v>
      </c>
      <c r="E12" s="7">
        <v>55</v>
      </c>
      <c r="F12" s="7">
        <v>83</v>
      </c>
      <c r="G12" s="7">
        <v>4</v>
      </c>
      <c r="K12" s="10"/>
    </row>
    <row r="13" spans="1:11" ht="15" thickBot="1" x14ac:dyDescent="0.35">
      <c r="A13" s="4">
        <v>111</v>
      </c>
      <c r="B13" s="5" t="s">
        <v>22</v>
      </c>
      <c r="C13" s="5" t="s">
        <v>16</v>
      </c>
      <c r="D13" s="5">
        <v>29</v>
      </c>
      <c r="E13" s="5">
        <v>38</v>
      </c>
      <c r="F13" s="5">
        <v>68</v>
      </c>
      <c r="G13" s="5">
        <v>3</v>
      </c>
      <c r="K13" s="10"/>
    </row>
    <row r="14" spans="1:11" ht="29.4" thickBot="1" x14ac:dyDescent="0.35">
      <c r="A14" s="6">
        <v>112</v>
      </c>
      <c r="B14" s="7" t="s">
        <v>23</v>
      </c>
      <c r="C14" s="7" t="s">
        <v>10</v>
      </c>
      <c r="D14" s="7">
        <v>44</v>
      </c>
      <c r="E14" s="7">
        <v>73</v>
      </c>
      <c r="F14" s="7">
        <v>94</v>
      </c>
      <c r="G14" s="7">
        <v>5</v>
      </c>
    </row>
    <row r="15" spans="1:11" ht="15" thickBot="1" x14ac:dyDescent="0.35">
      <c r="A15" s="4">
        <v>113</v>
      </c>
      <c r="B15" s="5" t="s">
        <v>24</v>
      </c>
      <c r="C15" s="5" t="s">
        <v>12</v>
      </c>
      <c r="D15" s="5">
        <v>33</v>
      </c>
      <c r="E15" s="5">
        <v>45</v>
      </c>
      <c r="F15" s="5">
        <v>75</v>
      </c>
      <c r="G15" s="5">
        <v>3</v>
      </c>
    </row>
    <row r="16" spans="1:11" ht="15" thickBot="1" x14ac:dyDescent="0.35">
      <c r="A16" s="6">
        <v>114</v>
      </c>
      <c r="B16" s="7" t="s">
        <v>25</v>
      </c>
      <c r="C16" s="7" t="s">
        <v>8</v>
      </c>
      <c r="D16" s="7">
        <v>41</v>
      </c>
      <c r="E16" s="7">
        <v>66</v>
      </c>
      <c r="F16" s="7">
        <v>89</v>
      </c>
      <c r="G16" s="7">
        <v>4</v>
      </c>
    </row>
    <row r="17" spans="1:12" ht="15" thickBot="1" x14ac:dyDescent="0.35">
      <c r="A17" s="4">
        <v>115</v>
      </c>
      <c r="B17" s="5" t="s">
        <v>26</v>
      </c>
      <c r="C17" s="5" t="s">
        <v>14</v>
      </c>
      <c r="D17" s="5">
        <v>48</v>
      </c>
      <c r="E17" s="5">
        <v>78</v>
      </c>
      <c r="F17" s="5">
        <v>98</v>
      </c>
      <c r="G17" s="5">
        <v>5</v>
      </c>
    </row>
    <row r="18" spans="1:12" ht="15" thickBot="1" x14ac:dyDescent="0.35">
      <c r="A18" s="6">
        <v>116</v>
      </c>
      <c r="B18" s="7" t="s">
        <v>27</v>
      </c>
      <c r="C18" s="7" t="s">
        <v>16</v>
      </c>
      <c r="D18" s="7">
        <v>26</v>
      </c>
      <c r="E18" s="7">
        <v>32</v>
      </c>
      <c r="F18" s="7">
        <v>62</v>
      </c>
      <c r="G18" s="7">
        <v>2</v>
      </c>
    </row>
    <row r="19" spans="1:12" ht="15" thickBot="1" x14ac:dyDescent="0.35">
      <c r="A19" s="4">
        <v>117</v>
      </c>
      <c r="B19" s="5" t="s">
        <v>28</v>
      </c>
      <c r="C19" s="5" t="s">
        <v>12</v>
      </c>
      <c r="D19" s="5">
        <v>31</v>
      </c>
      <c r="E19" s="5">
        <v>42</v>
      </c>
      <c r="F19" s="5">
        <v>72</v>
      </c>
      <c r="G19" s="5">
        <v>3</v>
      </c>
    </row>
    <row r="20" spans="1:12" ht="29.4" thickBot="1" x14ac:dyDescent="0.35">
      <c r="A20" s="6">
        <v>118</v>
      </c>
      <c r="B20" s="7" t="s">
        <v>29</v>
      </c>
      <c r="C20" s="7" t="s">
        <v>10</v>
      </c>
      <c r="D20" s="7">
        <v>43</v>
      </c>
      <c r="E20" s="7">
        <v>75</v>
      </c>
      <c r="F20" s="7">
        <v>93</v>
      </c>
      <c r="G20" s="7">
        <v>5</v>
      </c>
    </row>
    <row r="21" spans="1:12" ht="15" thickBot="1" x14ac:dyDescent="0.35">
      <c r="A21" s="4">
        <v>119</v>
      </c>
      <c r="B21" s="5" t="s">
        <v>30</v>
      </c>
      <c r="C21" s="5" t="s">
        <v>14</v>
      </c>
      <c r="D21" s="5">
        <v>39</v>
      </c>
      <c r="E21" s="5">
        <v>60</v>
      </c>
      <c r="F21" s="5">
        <v>87</v>
      </c>
      <c r="G21" s="5">
        <v>4</v>
      </c>
    </row>
    <row r="22" spans="1:12" ht="15" thickBot="1" x14ac:dyDescent="0.35">
      <c r="A22" s="6">
        <v>120</v>
      </c>
      <c r="B22" s="7" t="s">
        <v>31</v>
      </c>
      <c r="C22" s="7" t="s">
        <v>8</v>
      </c>
      <c r="D22" s="7">
        <v>36</v>
      </c>
      <c r="E22" s="7">
        <v>52</v>
      </c>
      <c r="F22" s="7">
        <v>78</v>
      </c>
      <c r="G22" s="7">
        <v>4</v>
      </c>
    </row>
    <row r="23" spans="1:12" ht="15" thickBot="1" x14ac:dyDescent="0.35">
      <c r="A23" s="4">
        <v>121</v>
      </c>
      <c r="B23" s="5" t="s">
        <v>32</v>
      </c>
      <c r="C23" s="5" t="s">
        <v>16</v>
      </c>
      <c r="D23" s="5">
        <v>27</v>
      </c>
      <c r="E23" s="5">
        <v>34</v>
      </c>
      <c r="F23" s="5">
        <v>64</v>
      </c>
      <c r="G23" s="5">
        <v>2</v>
      </c>
    </row>
    <row r="24" spans="1:12" ht="15" thickBot="1" x14ac:dyDescent="0.35">
      <c r="A24" s="6">
        <v>122</v>
      </c>
      <c r="B24" s="7" t="s">
        <v>33</v>
      </c>
      <c r="C24" s="7" t="s">
        <v>12</v>
      </c>
      <c r="D24" s="7">
        <v>32</v>
      </c>
      <c r="E24" s="7">
        <v>44</v>
      </c>
      <c r="F24" s="7">
        <v>74</v>
      </c>
      <c r="G24" s="7">
        <v>3</v>
      </c>
      <c r="L24" s="10"/>
    </row>
    <row r="25" spans="1:12" ht="29.4" thickBot="1" x14ac:dyDescent="0.35">
      <c r="A25" s="4">
        <v>123</v>
      </c>
      <c r="B25" s="5" t="s">
        <v>34</v>
      </c>
      <c r="C25" s="5" t="s">
        <v>10</v>
      </c>
      <c r="D25" s="5">
        <v>46</v>
      </c>
      <c r="E25" s="5">
        <v>77</v>
      </c>
      <c r="F25" s="5">
        <v>96</v>
      </c>
      <c r="G25" s="5">
        <v>5</v>
      </c>
      <c r="L25" s="10"/>
    </row>
    <row r="26" spans="1:12" ht="15" thickBot="1" x14ac:dyDescent="0.35">
      <c r="A26" s="6">
        <v>124</v>
      </c>
      <c r="B26" s="7" t="s">
        <v>35</v>
      </c>
      <c r="C26" s="7" t="s">
        <v>8</v>
      </c>
      <c r="D26" s="7">
        <v>34</v>
      </c>
      <c r="E26" s="7">
        <v>48</v>
      </c>
      <c r="F26" s="7">
        <v>76</v>
      </c>
      <c r="G26" s="7">
        <v>3</v>
      </c>
      <c r="L26" s="10"/>
    </row>
    <row r="27" spans="1:12" ht="15" thickBot="1" x14ac:dyDescent="0.35">
      <c r="A27" s="4">
        <v>125</v>
      </c>
      <c r="B27" s="5" t="s">
        <v>36</v>
      </c>
      <c r="C27" s="5" t="s">
        <v>14</v>
      </c>
      <c r="D27" s="5">
        <v>47</v>
      </c>
      <c r="E27" s="5">
        <v>79</v>
      </c>
      <c r="F27" s="5">
        <v>99</v>
      </c>
      <c r="G27" s="5">
        <v>5</v>
      </c>
      <c r="L27" s="10"/>
    </row>
    <row r="28" spans="1:12" x14ac:dyDescent="0.3">
      <c r="L28" s="10"/>
    </row>
    <row r="29" spans="1:12" x14ac:dyDescent="0.3">
      <c r="L29" s="10"/>
    </row>
    <row r="30" spans="1:12" x14ac:dyDescent="0.3">
      <c r="A30" s="26" t="s">
        <v>41</v>
      </c>
      <c r="B30" s="26"/>
      <c r="C30" s="26"/>
      <c r="D30" s="26"/>
      <c r="E30" s="23">
        <f>CORREL(D3:D27,E3:E27)</f>
        <v>0.9927604881227069</v>
      </c>
      <c r="L30" s="10"/>
    </row>
    <row r="31" spans="1:12" x14ac:dyDescent="0.3">
      <c r="L31" s="10"/>
    </row>
    <row r="32" spans="1:12" x14ac:dyDescent="0.3">
      <c r="L32" s="10"/>
    </row>
    <row r="33" spans="1:12" x14ac:dyDescent="0.3">
      <c r="L33" s="10"/>
    </row>
    <row r="35" spans="1:12" x14ac:dyDescent="0.3">
      <c r="A35" s="22" t="s">
        <v>46</v>
      </c>
      <c r="B35" s="22"/>
      <c r="C35" s="22"/>
      <c r="D35" s="22"/>
      <c r="E35" s="22"/>
      <c r="F35" s="22"/>
      <c r="G35" s="22"/>
    </row>
  </sheetData>
  <mergeCells count="2">
    <mergeCell ref="A30:D30"/>
    <mergeCell ref="A1:G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workbookViewId="0">
      <selection activeCell="L6" sqref="L6"/>
    </sheetView>
  </sheetViews>
  <sheetFormatPr defaultRowHeight="14.4" x14ac:dyDescent="0.3"/>
  <cols>
    <col min="5" max="6" width="9" bestFit="1" customWidth="1"/>
    <col min="7" max="7" width="19.33203125" bestFit="1" customWidth="1"/>
    <col min="8" max="8" width="13.5546875" style="22" customWidth="1"/>
  </cols>
  <sheetData>
    <row r="1" spans="1:8" ht="21.6" thickBot="1" x14ac:dyDescent="0.45">
      <c r="A1" s="27" t="s">
        <v>51</v>
      </c>
      <c r="B1" s="27"/>
      <c r="C1" s="27"/>
      <c r="D1" s="27"/>
      <c r="E1" s="27"/>
      <c r="F1" s="27"/>
      <c r="G1" s="27"/>
    </row>
    <row r="2" spans="1:8" ht="43.8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4"/>
    </row>
    <row r="3" spans="1:8" ht="15" thickBot="1" x14ac:dyDescent="0.35">
      <c r="A3" s="4">
        <v>101</v>
      </c>
      <c r="B3" s="5" t="s">
        <v>7</v>
      </c>
      <c r="C3" s="5" t="s">
        <v>8</v>
      </c>
      <c r="D3" s="5">
        <v>35</v>
      </c>
      <c r="E3" s="5">
        <v>50</v>
      </c>
      <c r="F3" s="5">
        <v>80</v>
      </c>
      <c r="G3" s="5"/>
      <c r="H3" s="22" t="str">
        <f>IF(AND((G3&gt;=4),(D3&lt;37)),"Efficient","Not Efficient")</f>
        <v>Not Efficient</v>
      </c>
    </row>
    <row r="4" spans="1:8" ht="29.4" thickBot="1" x14ac:dyDescent="0.35">
      <c r="A4" s="6">
        <v>102</v>
      </c>
      <c r="B4" s="7" t="s">
        <v>9</v>
      </c>
      <c r="C4" s="7" t="s">
        <v>10</v>
      </c>
      <c r="D4" s="7">
        <v>40</v>
      </c>
      <c r="E4" s="7">
        <v>65</v>
      </c>
      <c r="F4" s="7">
        <v>90</v>
      </c>
      <c r="G4" s="7">
        <v>5</v>
      </c>
      <c r="H4" s="22" t="str">
        <f>IF(AND((G4&gt;=4),(D4&lt;37)),"Efficient","Not Efficient")</f>
        <v>Not Efficient</v>
      </c>
    </row>
    <row r="5" spans="1:8" ht="15" thickBot="1" x14ac:dyDescent="0.35">
      <c r="A5" s="4">
        <v>103</v>
      </c>
      <c r="B5" s="5" t="s">
        <v>11</v>
      </c>
      <c r="C5" s="5" t="s">
        <v>12</v>
      </c>
      <c r="D5" s="5">
        <v>30</v>
      </c>
      <c r="E5" s="5">
        <v>40</v>
      </c>
      <c r="F5" s="5">
        <v>70</v>
      </c>
      <c r="G5" s="5">
        <v>3</v>
      </c>
      <c r="H5" s="22" t="str">
        <f>IF(AND((G5&gt;=4),(D5&lt;37)),"Efficient","Not Efficient")</f>
        <v>Not Efficient</v>
      </c>
    </row>
    <row r="6" spans="1:8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7">
        <v>95</v>
      </c>
      <c r="G6" s="7">
        <v>5</v>
      </c>
      <c r="H6" s="22" t="str">
        <f t="shared" ref="H6:H27" si="0">IF(AND((G6&gt;=4),(D6&lt;37)),"Efficient","Not Efficient")</f>
        <v>Not Efficient</v>
      </c>
    </row>
    <row r="7" spans="1:8" ht="15" thickBot="1" x14ac:dyDescent="0.35">
      <c r="A7" s="4">
        <v>105</v>
      </c>
      <c r="B7" s="5" t="s">
        <v>15</v>
      </c>
      <c r="C7" s="5" t="s">
        <v>16</v>
      </c>
      <c r="D7" s="5">
        <v>25</v>
      </c>
      <c r="E7" s="5">
        <v>30</v>
      </c>
      <c r="F7" s="5">
        <v>60</v>
      </c>
      <c r="G7" s="5">
        <v>2</v>
      </c>
      <c r="H7" s="22" t="str">
        <f t="shared" si="0"/>
        <v>Not Efficient</v>
      </c>
    </row>
    <row r="8" spans="1:8" ht="15" thickBot="1" x14ac:dyDescent="0.35">
      <c r="A8" s="6">
        <v>106</v>
      </c>
      <c r="B8" s="7" t="s">
        <v>17</v>
      </c>
      <c r="C8" s="7" t="s">
        <v>8</v>
      </c>
      <c r="D8" s="7">
        <v>38</v>
      </c>
      <c r="E8" s="7">
        <v>58</v>
      </c>
      <c r="F8" s="7">
        <v>85</v>
      </c>
      <c r="G8" s="7">
        <v>4</v>
      </c>
      <c r="H8" s="22" t="str">
        <f t="shared" si="0"/>
        <v>Not Efficient</v>
      </c>
    </row>
    <row r="9" spans="1:8" ht="15" thickBot="1" x14ac:dyDescent="0.35">
      <c r="A9" s="4">
        <v>107</v>
      </c>
      <c r="B9" s="5" t="s">
        <v>18</v>
      </c>
      <c r="C9" s="5" t="s">
        <v>14</v>
      </c>
      <c r="D9" s="5">
        <v>50</v>
      </c>
      <c r="E9" s="5">
        <v>80</v>
      </c>
      <c r="F9" s="5">
        <v>100</v>
      </c>
      <c r="G9" s="5">
        <v>5</v>
      </c>
      <c r="H9" s="22" t="str">
        <f t="shared" si="0"/>
        <v>Not Efficient</v>
      </c>
    </row>
    <row r="10" spans="1:8" ht="15" thickBot="1" x14ac:dyDescent="0.35">
      <c r="A10" s="6">
        <v>108</v>
      </c>
      <c r="B10" s="7" t="s">
        <v>19</v>
      </c>
      <c r="C10" s="7" t="s">
        <v>12</v>
      </c>
      <c r="D10" s="7">
        <v>28</v>
      </c>
      <c r="E10" s="7">
        <v>35</v>
      </c>
      <c r="F10" s="7">
        <v>65</v>
      </c>
      <c r="G10" s="7">
        <v>3</v>
      </c>
      <c r="H10" s="22" t="str">
        <f t="shared" si="0"/>
        <v>Not Efficient</v>
      </c>
    </row>
    <row r="11" spans="1:8" ht="29.4" thickBot="1" x14ac:dyDescent="0.35">
      <c r="A11" s="4">
        <v>109</v>
      </c>
      <c r="B11" s="5" t="s">
        <v>20</v>
      </c>
      <c r="C11" s="5" t="s">
        <v>10</v>
      </c>
      <c r="D11" s="5">
        <v>42</v>
      </c>
      <c r="E11" s="5">
        <v>70</v>
      </c>
      <c r="F11" s="5">
        <v>92</v>
      </c>
      <c r="G11" s="5">
        <v>5</v>
      </c>
      <c r="H11" s="22" t="str">
        <f t="shared" si="0"/>
        <v>Not Efficient</v>
      </c>
    </row>
    <row r="12" spans="1:8" ht="15" thickBot="1" x14ac:dyDescent="0.35">
      <c r="A12" s="6">
        <v>110</v>
      </c>
      <c r="B12" s="7" t="s">
        <v>21</v>
      </c>
      <c r="C12" s="7" t="s">
        <v>8</v>
      </c>
      <c r="D12" s="7">
        <v>37</v>
      </c>
      <c r="E12" s="7">
        <v>55</v>
      </c>
      <c r="F12" s="7">
        <v>83</v>
      </c>
      <c r="G12" s="7">
        <v>4</v>
      </c>
      <c r="H12" s="22" t="str">
        <f t="shared" si="0"/>
        <v>Not Efficient</v>
      </c>
    </row>
    <row r="13" spans="1:8" ht="15" thickBot="1" x14ac:dyDescent="0.35">
      <c r="A13" s="4">
        <v>111</v>
      </c>
      <c r="B13" s="5" t="s">
        <v>22</v>
      </c>
      <c r="C13" s="5" t="s">
        <v>16</v>
      </c>
      <c r="D13" s="5">
        <v>29</v>
      </c>
      <c r="E13" s="5">
        <v>38</v>
      </c>
      <c r="F13" s="5">
        <v>68</v>
      </c>
      <c r="G13" s="5">
        <v>3</v>
      </c>
      <c r="H13" s="22" t="str">
        <f t="shared" si="0"/>
        <v>Not Efficient</v>
      </c>
    </row>
    <row r="14" spans="1:8" ht="29.4" thickBot="1" x14ac:dyDescent="0.35">
      <c r="A14" s="6">
        <v>112</v>
      </c>
      <c r="B14" s="7" t="s">
        <v>23</v>
      </c>
      <c r="C14" s="7" t="s">
        <v>10</v>
      </c>
      <c r="D14" s="7">
        <v>44</v>
      </c>
      <c r="E14" s="7">
        <v>73</v>
      </c>
      <c r="F14" s="7">
        <v>94</v>
      </c>
      <c r="G14" s="7">
        <v>5</v>
      </c>
      <c r="H14" s="22" t="str">
        <f t="shared" si="0"/>
        <v>Not Efficient</v>
      </c>
    </row>
    <row r="15" spans="1:8" ht="15" thickBot="1" x14ac:dyDescent="0.35">
      <c r="A15" s="4">
        <v>113</v>
      </c>
      <c r="B15" s="5" t="s">
        <v>24</v>
      </c>
      <c r="C15" s="5" t="s">
        <v>12</v>
      </c>
      <c r="D15" s="5">
        <v>33</v>
      </c>
      <c r="E15" s="5">
        <v>45</v>
      </c>
      <c r="F15" s="5">
        <v>75</v>
      </c>
      <c r="G15" s="5">
        <v>3</v>
      </c>
      <c r="H15" s="22" t="str">
        <f t="shared" si="0"/>
        <v>Not Efficient</v>
      </c>
    </row>
    <row r="16" spans="1:8" ht="15" thickBot="1" x14ac:dyDescent="0.35">
      <c r="A16" s="6">
        <v>114</v>
      </c>
      <c r="B16" s="7" t="s">
        <v>25</v>
      </c>
      <c r="C16" s="7" t="s">
        <v>8</v>
      </c>
      <c r="D16" s="7">
        <v>41</v>
      </c>
      <c r="E16" s="7">
        <v>66</v>
      </c>
      <c r="F16" s="7">
        <v>89</v>
      </c>
      <c r="G16" s="7">
        <v>4</v>
      </c>
      <c r="H16" s="22" t="str">
        <f t="shared" si="0"/>
        <v>Not Efficient</v>
      </c>
    </row>
    <row r="17" spans="1:8" ht="15" thickBot="1" x14ac:dyDescent="0.35">
      <c r="A17" s="4">
        <v>115</v>
      </c>
      <c r="B17" s="5" t="s">
        <v>26</v>
      </c>
      <c r="C17" s="5" t="s">
        <v>14</v>
      </c>
      <c r="D17" s="5">
        <v>48</v>
      </c>
      <c r="E17" s="5">
        <v>78</v>
      </c>
      <c r="F17" s="5">
        <v>98</v>
      </c>
      <c r="G17" s="5">
        <v>5</v>
      </c>
      <c r="H17" s="22" t="str">
        <f t="shared" si="0"/>
        <v>Not Efficient</v>
      </c>
    </row>
    <row r="18" spans="1:8" ht="15" thickBot="1" x14ac:dyDescent="0.35">
      <c r="A18" s="6">
        <v>116</v>
      </c>
      <c r="B18" s="7" t="s">
        <v>27</v>
      </c>
      <c r="C18" s="7" t="s">
        <v>16</v>
      </c>
      <c r="D18" s="7">
        <v>26</v>
      </c>
      <c r="E18" s="7">
        <v>32</v>
      </c>
      <c r="F18" s="7">
        <v>62</v>
      </c>
      <c r="G18" s="7">
        <v>2</v>
      </c>
      <c r="H18" s="22" t="str">
        <f t="shared" si="0"/>
        <v>Not Efficient</v>
      </c>
    </row>
    <row r="19" spans="1:8" ht="15" thickBot="1" x14ac:dyDescent="0.35">
      <c r="A19" s="4">
        <v>117</v>
      </c>
      <c r="B19" s="5" t="s">
        <v>28</v>
      </c>
      <c r="C19" s="5" t="s">
        <v>12</v>
      </c>
      <c r="D19" s="5">
        <v>31</v>
      </c>
      <c r="E19" s="5">
        <v>42</v>
      </c>
      <c r="F19" s="5">
        <v>72</v>
      </c>
      <c r="G19" s="5">
        <v>3</v>
      </c>
      <c r="H19" s="22" t="str">
        <f t="shared" si="0"/>
        <v>Not Efficient</v>
      </c>
    </row>
    <row r="20" spans="1:8" ht="29.4" thickBot="1" x14ac:dyDescent="0.35">
      <c r="A20" s="6">
        <v>118</v>
      </c>
      <c r="B20" s="7" t="s">
        <v>29</v>
      </c>
      <c r="C20" s="7" t="s">
        <v>10</v>
      </c>
      <c r="D20" s="7">
        <v>43</v>
      </c>
      <c r="E20" s="7">
        <v>75</v>
      </c>
      <c r="F20" s="7">
        <v>93</v>
      </c>
      <c r="G20" s="7">
        <v>5</v>
      </c>
      <c r="H20" s="22" t="str">
        <f t="shared" si="0"/>
        <v>Not Efficient</v>
      </c>
    </row>
    <row r="21" spans="1:8" ht="15" thickBot="1" x14ac:dyDescent="0.35">
      <c r="A21" s="4">
        <v>119</v>
      </c>
      <c r="B21" s="5" t="s">
        <v>30</v>
      </c>
      <c r="C21" s="5" t="s">
        <v>14</v>
      </c>
      <c r="D21" s="5">
        <v>39</v>
      </c>
      <c r="E21" s="5">
        <v>60</v>
      </c>
      <c r="F21" s="5">
        <v>87</v>
      </c>
      <c r="G21" s="5">
        <v>4</v>
      </c>
      <c r="H21" s="22" t="str">
        <f t="shared" si="0"/>
        <v>Not Efficient</v>
      </c>
    </row>
    <row r="22" spans="1:8" ht="15" thickBot="1" x14ac:dyDescent="0.35">
      <c r="A22" s="6">
        <v>120</v>
      </c>
      <c r="B22" s="7" t="s">
        <v>31</v>
      </c>
      <c r="C22" s="7" t="s">
        <v>8</v>
      </c>
      <c r="D22" s="7">
        <v>36</v>
      </c>
      <c r="E22" s="7">
        <v>52</v>
      </c>
      <c r="F22" s="7">
        <v>78</v>
      </c>
      <c r="G22" s="7">
        <v>4</v>
      </c>
      <c r="H22" s="22" t="str">
        <f t="shared" si="0"/>
        <v>Efficient</v>
      </c>
    </row>
    <row r="23" spans="1:8" ht="15" thickBot="1" x14ac:dyDescent="0.35">
      <c r="A23" s="4">
        <v>121</v>
      </c>
      <c r="B23" s="5" t="s">
        <v>32</v>
      </c>
      <c r="C23" s="5" t="s">
        <v>16</v>
      </c>
      <c r="D23" s="5">
        <v>27</v>
      </c>
      <c r="E23" s="5">
        <v>34</v>
      </c>
      <c r="F23" s="5">
        <v>64</v>
      </c>
      <c r="G23" s="5">
        <v>2</v>
      </c>
      <c r="H23" s="22" t="str">
        <f t="shared" si="0"/>
        <v>Not Efficient</v>
      </c>
    </row>
    <row r="24" spans="1:8" ht="15" thickBot="1" x14ac:dyDescent="0.35">
      <c r="A24" s="6">
        <v>122</v>
      </c>
      <c r="B24" s="7" t="s">
        <v>33</v>
      </c>
      <c r="C24" s="7" t="s">
        <v>12</v>
      </c>
      <c r="D24" s="7">
        <v>32</v>
      </c>
      <c r="E24" s="7">
        <v>44</v>
      </c>
      <c r="F24" s="7">
        <v>74</v>
      </c>
      <c r="G24" s="7">
        <v>3</v>
      </c>
      <c r="H24" s="22" t="str">
        <f t="shared" si="0"/>
        <v>Not Efficient</v>
      </c>
    </row>
    <row r="25" spans="1:8" ht="29.4" thickBot="1" x14ac:dyDescent="0.35">
      <c r="A25" s="4">
        <v>123</v>
      </c>
      <c r="B25" s="5" t="s">
        <v>34</v>
      </c>
      <c r="C25" s="5" t="s">
        <v>10</v>
      </c>
      <c r="D25" s="5">
        <v>46</v>
      </c>
      <c r="E25" s="5">
        <v>77</v>
      </c>
      <c r="F25" s="5">
        <v>96</v>
      </c>
      <c r="G25" s="5">
        <v>5</v>
      </c>
      <c r="H25" s="22" t="str">
        <f t="shared" si="0"/>
        <v>Not Efficient</v>
      </c>
    </row>
    <row r="26" spans="1:8" ht="15" thickBot="1" x14ac:dyDescent="0.35">
      <c r="A26" s="6">
        <v>124</v>
      </c>
      <c r="B26" s="7" t="s">
        <v>35</v>
      </c>
      <c r="C26" s="7" t="s">
        <v>8</v>
      </c>
      <c r="D26" s="7">
        <v>34</v>
      </c>
      <c r="E26" s="7">
        <v>48</v>
      </c>
      <c r="F26" s="7">
        <v>76</v>
      </c>
      <c r="G26" s="7">
        <v>3</v>
      </c>
      <c r="H26" s="22" t="str">
        <f t="shared" si="0"/>
        <v>Not Efficient</v>
      </c>
    </row>
    <row r="27" spans="1:8" ht="15" thickBot="1" x14ac:dyDescent="0.35">
      <c r="A27" s="4">
        <v>125</v>
      </c>
      <c r="B27" s="5" t="s">
        <v>36</v>
      </c>
      <c r="C27" s="5" t="s">
        <v>14</v>
      </c>
      <c r="D27" s="5">
        <v>47</v>
      </c>
      <c r="E27" s="5">
        <v>79</v>
      </c>
      <c r="F27" s="5">
        <v>99</v>
      </c>
      <c r="G27" s="5">
        <v>5</v>
      </c>
      <c r="H27" s="22" t="str">
        <f t="shared" si="0"/>
        <v>Not Efficient</v>
      </c>
    </row>
    <row r="28" spans="1:8" x14ac:dyDescent="0.3">
      <c r="D28">
        <f>AVERAGE(D3:D27)</f>
        <v>37.04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workbookViewId="0">
      <selection activeCell="L9" sqref="L9"/>
    </sheetView>
  </sheetViews>
  <sheetFormatPr defaultRowHeight="14.4" x14ac:dyDescent="0.3"/>
  <cols>
    <col min="1" max="1" width="13.88671875" customWidth="1"/>
    <col min="2" max="2" width="12.5546875" customWidth="1"/>
    <col min="3" max="3" width="15.33203125" customWidth="1"/>
    <col min="4" max="4" width="17" customWidth="1"/>
    <col min="5" max="5" width="15.5546875" customWidth="1"/>
    <col min="6" max="6" width="13.33203125" customWidth="1"/>
    <col min="7" max="7" width="21.44140625" customWidth="1"/>
    <col min="8" max="8" width="14.5546875" style="12" customWidth="1"/>
  </cols>
  <sheetData>
    <row r="1" spans="1:9" ht="24" thickBot="1" x14ac:dyDescent="0.5">
      <c r="A1" s="28" t="s">
        <v>52</v>
      </c>
      <c r="B1" s="28"/>
      <c r="C1" s="28"/>
      <c r="D1" s="28"/>
      <c r="E1" s="28"/>
      <c r="F1" s="28"/>
      <c r="G1" s="28"/>
      <c r="H1" s="28"/>
    </row>
    <row r="2" spans="1:9" ht="29.4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5" t="s">
        <v>6</v>
      </c>
      <c r="H2" s="11" t="s">
        <v>42</v>
      </c>
    </row>
    <row r="3" spans="1:9" ht="15" thickBot="1" x14ac:dyDescent="0.35">
      <c r="A3" s="4">
        <v>101</v>
      </c>
      <c r="B3" s="5" t="s">
        <v>7</v>
      </c>
      <c r="C3" s="5" t="s">
        <v>8</v>
      </c>
      <c r="D3" s="5">
        <v>35</v>
      </c>
      <c r="E3" s="5">
        <v>50</v>
      </c>
      <c r="F3" s="13">
        <v>80</v>
      </c>
      <c r="G3" s="16" t="s">
        <v>40</v>
      </c>
      <c r="H3" s="25">
        <f>E3/D3</f>
        <v>1.4285714285714286</v>
      </c>
      <c r="I3">
        <f>VLOOKUP(A3,A3:H27,8,K6)</f>
        <v>1.4285714285714286</v>
      </c>
    </row>
    <row r="4" spans="1:9" ht="15" thickBot="1" x14ac:dyDescent="0.35">
      <c r="A4" s="6">
        <v>102</v>
      </c>
      <c r="B4" s="7" t="s">
        <v>9</v>
      </c>
      <c r="C4" s="7" t="s">
        <v>10</v>
      </c>
      <c r="D4" s="7">
        <v>40</v>
      </c>
      <c r="E4" s="7">
        <v>65</v>
      </c>
      <c r="F4" s="14">
        <v>90</v>
      </c>
      <c r="G4" s="17">
        <v>5</v>
      </c>
      <c r="H4" s="25">
        <f t="shared" ref="H4:H27" si="0">E4/D4</f>
        <v>1.625</v>
      </c>
    </row>
    <row r="5" spans="1:9" ht="15" thickBot="1" x14ac:dyDescent="0.35">
      <c r="A5" s="4">
        <v>103</v>
      </c>
      <c r="B5" s="5" t="s">
        <v>11</v>
      </c>
      <c r="C5" s="5" t="s">
        <v>12</v>
      </c>
      <c r="D5" s="5">
        <v>30</v>
      </c>
      <c r="E5" s="5">
        <v>40</v>
      </c>
      <c r="F5" s="13">
        <v>70</v>
      </c>
      <c r="G5" s="16">
        <v>3</v>
      </c>
      <c r="H5" s="25">
        <f t="shared" si="0"/>
        <v>1.3333333333333333</v>
      </c>
    </row>
    <row r="6" spans="1:9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14">
        <v>95</v>
      </c>
      <c r="G6" s="17">
        <v>5</v>
      </c>
      <c r="H6" s="25">
        <f t="shared" si="0"/>
        <v>1.6666666666666667</v>
      </c>
    </row>
    <row r="7" spans="1:9" ht="15" thickBot="1" x14ac:dyDescent="0.35">
      <c r="A7" s="4">
        <v>105</v>
      </c>
      <c r="B7" s="5" t="s">
        <v>15</v>
      </c>
      <c r="C7" s="5" t="s">
        <v>16</v>
      </c>
      <c r="D7" s="5">
        <v>25</v>
      </c>
      <c r="E7" s="5">
        <v>30</v>
      </c>
      <c r="F7" s="13">
        <v>60</v>
      </c>
      <c r="G7" s="16">
        <v>2</v>
      </c>
      <c r="H7" s="25">
        <f t="shared" si="0"/>
        <v>1.2</v>
      </c>
    </row>
    <row r="8" spans="1:9" ht="15" thickBot="1" x14ac:dyDescent="0.35">
      <c r="A8" s="6">
        <v>106</v>
      </c>
      <c r="B8" s="7" t="s">
        <v>17</v>
      </c>
      <c r="C8" s="7" t="s">
        <v>8</v>
      </c>
      <c r="D8" s="7">
        <v>38</v>
      </c>
      <c r="E8" s="7">
        <v>58</v>
      </c>
      <c r="F8" s="14">
        <v>85</v>
      </c>
      <c r="G8" s="17">
        <v>4</v>
      </c>
      <c r="H8" s="25">
        <f t="shared" si="0"/>
        <v>1.5263157894736843</v>
      </c>
    </row>
    <row r="9" spans="1:9" ht="15" thickBot="1" x14ac:dyDescent="0.35">
      <c r="A9" s="4">
        <v>107</v>
      </c>
      <c r="B9" s="5" t="s">
        <v>18</v>
      </c>
      <c r="C9" s="5" t="s">
        <v>14</v>
      </c>
      <c r="D9" s="5">
        <v>50</v>
      </c>
      <c r="E9" s="5">
        <v>80</v>
      </c>
      <c r="F9" s="13">
        <v>100</v>
      </c>
      <c r="G9" s="16">
        <v>5</v>
      </c>
      <c r="H9" s="25">
        <f t="shared" si="0"/>
        <v>1.6</v>
      </c>
    </row>
    <row r="10" spans="1:9" ht="15" thickBot="1" x14ac:dyDescent="0.35">
      <c r="A10" s="6">
        <v>108</v>
      </c>
      <c r="B10" s="7" t="s">
        <v>19</v>
      </c>
      <c r="C10" s="7" t="s">
        <v>12</v>
      </c>
      <c r="D10" s="7">
        <v>28</v>
      </c>
      <c r="E10" s="7">
        <v>35</v>
      </c>
      <c r="F10" s="14">
        <v>65</v>
      </c>
      <c r="G10" s="17">
        <v>3</v>
      </c>
      <c r="H10" s="25">
        <f t="shared" si="0"/>
        <v>1.25</v>
      </c>
    </row>
    <row r="11" spans="1:9" ht="15" thickBot="1" x14ac:dyDescent="0.35">
      <c r="A11" s="4">
        <v>109</v>
      </c>
      <c r="B11" s="5" t="s">
        <v>20</v>
      </c>
      <c r="C11" s="5" t="s">
        <v>10</v>
      </c>
      <c r="D11" s="5">
        <v>42</v>
      </c>
      <c r="E11" s="5">
        <v>70</v>
      </c>
      <c r="F11" s="13">
        <v>92</v>
      </c>
      <c r="G11" s="16">
        <v>5</v>
      </c>
      <c r="H11" s="25">
        <f t="shared" si="0"/>
        <v>1.6666666666666667</v>
      </c>
    </row>
    <row r="12" spans="1:9" ht="15" thickBot="1" x14ac:dyDescent="0.35">
      <c r="A12" s="6">
        <v>110</v>
      </c>
      <c r="B12" s="7" t="s">
        <v>21</v>
      </c>
      <c r="C12" s="7" t="s">
        <v>8</v>
      </c>
      <c r="D12" s="7">
        <v>37</v>
      </c>
      <c r="E12" s="7">
        <v>55</v>
      </c>
      <c r="F12" s="14">
        <v>83</v>
      </c>
      <c r="G12" s="17">
        <v>4</v>
      </c>
      <c r="H12" s="25">
        <f t="shared" si="0"/>
        <v>1.4864864864864864</v>
      </c>
    </row>
    <row r="13" spans="1:9" ht="15" thickBot="1" x14ac:dyDescent="0.35">
      <c r="A13" s="4">
        <v>111</v>
      </c>
      <c r="B13" s="5" t="s">
        <v>22</v>
      </c>
      <c r="C13" s="5" t="s">
        <v>16</v>
      </c>
      <c r="D13" s="5">
        <v>29</v>
      </c>
      <c r="E13" s="5">
        <v>38</v>
      </c>
      <c r="F13" s="13">
        <v>68</v>
      </c>
      <c r="G13" s="16">
        <v>3</v>
      </c>
      <c r="H13" s="25">
        <f t="shared" si="0"/>
        <v>1.3103448275862069</v>
      </c>
    </row>
    <row r="14" spans="1:9" ht="15" thickBot="1" x14ac:dyDescent="0.35">
      <c r="A14" s="6">
        <v>112</v>
      </c>
      <c r="B14" s="7" t="s">
        <v>23</v>
      </c>
      <c r="C14" s="7" t="s">
        <v>10</v>
      </c>
      <c r="D14" s="7">
        <v>44</v>
      </c>
      <c r="E14" s="7">
        <v>73</v>
      </c>
      <c r="F14" s="14">
        <v>94</v>
      </c>
      <c r="G14" s="17">
        <v>5</v>
      </c>
      <c r="H14" s="25">
        <f t="shared" si="0"/>
        <v>1.6590909090909092</v>
      </c>
    </row>
    <row r="15" spans="1:9" ht="15" thickBot="1" x14ac:dyDescent="0.35">
      <c r="A15" s="4">
        <v>113</v>
      </c>
      <c r="B15" s="5" t="s">
        <v>24</v>
      </c>
      <c r="C15" s="5" t="s">
        <v>12</v>
      </c>
      <c r="D15" s="5">
        <v>33</v>
      </c>
      <c r="E15" s="5">
        <v>45</v>
      </c>
      <c r="F15" s="13">
        <v>75</v>
      </c>
      <c r="G15" s="16">
        <v>3</v>
      </c>
      <c r="H15" s="25">
        <f t="shared" si="0"/>
        <v>1.3636363636363635</v>
      </c>
    </row>
    <row r="16" spans="1:9" ht="15" thickBot="1" x14ac:dyDescent="0.35">
      <c r="A16" s="6">
        <v>114</v>
      </c>
      <c r="B16" s="7" t="s">
        <v>25</v>
      </c>
      <c r="C16" s="7" t="s">
        <v>8</v>
      </c>
      <c r="D16" s="7">
        <v>41</v>
      </c>
      <c r="E16" s="7">
        <v>66</v>
      </c>
      <c r="F16" s="14">
        <v>89</v>
      </c>
      <c r="G16" s="17">
        <v>4</v>
      </c>
      <c r="H16" s="25">
        <f t="shared" si="0"/>
        <v>1.6097560975609757</v>
      </c>
    </row>
    <row r="17" spans="1:8" ht="15" thickBot="1" x14ac:dyDescent="0.35">
      <c r="A17" s="4">
        <v>115</v>
      </c>
      <c r="B17" s="5" t="s">
        <v>26</v>
      </c>
      <c r="C17" s="5" t="s">
        <v>14</v>
      </c>
      <c r="D17" s="5">
        <v>48</v>
      </c>
      <c r="E17" s="5">
        <v>78</v>
      </c>
      <c r="F17" s="13">
        <v>98</v>
      </c>
      <c r="G17" s="16">
        <v>5</v>
      </c>
      <c r="H17" s="25">
        <f t="shared" si="0"/>
        <v>1.625</v>
      </c>
    </row>
    <row r="18" spans="1:8" ht="15" thickBot="1" x14ac:dyDescent="0.35">
      <c r="A18" s="6">
        <v>116</v>
      </c>
      <c r="B18" s="7" t="s">
        <v>27</v>
      </c>
      <c r="C18" s="7" t="s">
        <v>16</v>
      </c>
      <c r="D18" s="7">
        <v>26</v>
      </c>
      <c r="E18" s="7">
        <v>32</v>
      </c>
      <c r="F18" s="14">
        <v>62</v>
      </c>
      <c r="G18" s="17">
        <v>2</v>
      </c>
      <c r="H18" s="25">
        <f t="shared" si="0"/>
        <v>1.2307692307692308</v>
      </c>
    </row>
    <row r="19" spans="1:8" ht="15" thickBot="1" x14ac:dyDescent="0.35">
      <c r="A19" s="4">
        <v>117</v>
      </c>
      <c r="B19" s="5" t="s">
        <v>28</v>
      </c>
      <c r="C19" s="5" t="s">
        <v>12</v>
      </c>
      <c r="D19" s="5">
        <v>31</v>
      </c>
      <c r="E19" s="5">
        <v>42</v>
      </c>
      <c r="F19" s="13">
        <v>72</v>
      </c>
      <c r="G19" s="16">
        <v>3</v>
      </c>
      <c r="H19" s="25">
        <f t="shared" si="0"/>
        <v>1.3548387096774193</v>
      </c>
    </row>
    <row r="20" spans="1:8" ht="15" thickBot="1" x14ac:dyDescent="0.35">
      <c r="A20" s="6">
        <v>118</v>
      </c>
      <c r="B20" s="7" t="s">
        <v>29</v>
      </c>
      <c r="C20" s="7" t="s">
        <v>10</v>
      </c>
      <c r="D20" s="7">
        <v>43</v>
      </c>
      <c r="E20" s="7">
        <v>75</v>
      </c>
      <c r="F20" s="14">
        <v>93</v>
      </c>
      <c r="G20" s="17">
        <v>5</v>
      </c>
      <c r="H20" s="25">
        <f t="shared" si="0"/>
        <v>1.7441860465116279</v>
      </c>
    </row>
    <row r="21" spans="1:8" ht="15" thickBot="1" x14ac:dyDescent="0.35">
      <c r="A21" s="4">
        <v>119</v>
      </c>
      <c r="B21" s="5" t="s">
        <v>30</v>
      </c>
      <c r="C21" s="5" t="s">
        <v>14</v>
      </c>
      <c r="D21" s="5">
        <v>39</v>
      </c>
      <c r="E21" s="5">
        <v>60</v>
      </c>
      <c r="F21" s="13">
        <v>87</v>
      </c>
      <c r="G21" s="16">
        <v>4</v>
      </c>
      <c r="H21" s="25">
        <f t="shared" si="0"/>
        <v>1.5384615384615385</v>
      </c>
    </row>
    <row r="22" spans="1:8" ht="15" thickBot="1" x14ac:dyDescent="0.35">
      <c r="A22" s="6">
        <v>120</v>
      </c>
      <c r="B22" s="7" t="s">
        <v>31</v>
      </c>
      <c r="C22" s="7" t="s">
        <v>8</v>
      </c>
      <c r="D22" s="7">
        <v>36</v>
      </c>
      <c r="E22" s="7">
        <v>52</v>
      </c>
      <c r="F22" s="14">
        <v>78</v>
      </c>
      <c r="G22" s="17">
        <v>4</v>
      </c>
      <c r="H22" s="25">
        <f t="shared" si="0"/>
        <v>1.4444444444444444</v>
      </c>
    </row>
    <row r="23" spans="1:8" ht="15" thickBot="1" x14ac:dyDescent="0.35">
      <c r="A23" s="4">
        <v>121</v>
      </c>
      <c r="B23" s="5" t="s">
        <v>32</v>
      </c>
      <c r="C23" s="5" t="s">
        <v>16</v>
      </c>
      <c r="D23" s="5">
        <v>27</v>
      </c>
      <c r="E23" s="5">
        <v>34</v>
      </c>
      <c r="F23" s="13">
        <v>64</v>
      </c>
      <c r="G23" s="16">
        <v>2</v>
      </c>
      <c r="H23" s="25">
        <f t="shared" si="0"/>
        <v>1.2592592592592593</v>
      </c>
    </row>
    <row r="24" spans="1:8" ht="15" thickBot="1" x14ac:dyDescent="0.35">
      <c r="A24" s="6">
        <v>122</v>
      </c>
      <c r="B24" s="7" t="s">
        <v>33</v>
      </c>
      <c r="C24" s="7" t="s">
        <v>12</v>
      </c>
      <c r="D24" s="7">
        <v>32</v>
      </c>
      <c r="E24" s="7">
        <v>44</v>
      </c>
      <c r="F24" s="14">
        <v>74</v>
      </c>
      <c r="G24" s="17">
        <v>3</v>
      </c>
      <c r="H24" s="25">
        <f t="shared" si="0"/>
        <v>1.375</v>
      </c>
    </row>
    <row r="25" spans="1:8" ht="15" thickBot="1" x14ac:dyDescent="0.35">
      <c r="A25" s="4">
        <v>123</v>
      </c>
      <c r="B25" s="5" t="s">
        <v>34</v>
      </c>
      <c r="C25" s="5" t="s">
        <v>10</v>
      </c>
      <c r="D25" s="5">
        <v>46</v>
      </c>
      <c r="E25" s="5">
        <v>77</v>
      </c>
      <c r="F25" s="13">
        <v>96</v>
      </c>
      <c r="G25" s="16">
        <v>5</v>
      </c>
      <c r="H25" s="25">
        <f t="shared" si="0"/>
        <v>1.673913043478261</v>
      </c>
    </row>
    <row r="26" spans="1:8" ht="15" thickBot="1" x14ac:dyDescent="0.35">
      <c r="A26" s="6">
        <v>124</v>
      </c>
      <c r="B26" s="7" t="s">
        <v>35</v>
      </c>
      <c r="C26" s="7" t="s">
        <v>8</v>
      </c>
      <c r="D26" s="7">
        <v>34</v>
      </c>
      <c r="E26" s="7">
        <v>48</v>
      </c>
      <c r="F26" s="14">
        <v>76</v>
      </c>
      <c r="G26" s="17">
        <v>3</v>
      </c>
      <c r="H26" s="25">
        <f t="shared" si="0"/>
        <v>1.411764705882353</v>
      </c>
    </row>
    <row r="27" spans="1:8" ht="15" thickBot="1" x14ac:dyDescent="0.35">
      <c r="A27" s="4">
        <v>125</v>
      </c>
      <c r="B27" s="5" t="s">
        <v>36</v>
      </c>
      <c r="C27" s="5" t="s">
        <v>14</v>
      </c>
      <c r="D27" s="5">
        <v>47</v>
      </c>
      <c r="E27" s="5">
        <v>79</v>
      </c>
      <c r="F27" s="13">
        <v>99</v>
      </c>
      <c r="G27" s="16">
        <v>5</v>
      </c>
      <c r="H27" s="25">
        <f t="shared" si="0"/>
        <v>1.6808510638297873</v>
      </c>
    </row>
    <row r="31" spans="1:8" x14ac:dyDescent="0.3">
      <c r="D31" t="s">
        <v>12</v>
      </c>
      <c r="E31" t="e">
        <f>VLOOKUP(D31,A3:H27,6,0)</f>
        <v>#N/A</v>
      </c>
    </row>
    <row r="33" spans="4:5" x14ac:dyDescent="0.3">
      <c r="D33" t="s">
        <v>11</v>
      </c>
      <c r="E33" t="e">
        <f>VLOOKUP(D33,A2:H27,3,0)</f>
        <v>#N/A</v>
      </c>
    </row>
  </sheetData>
  <mergeCells count="1">
    <mergeCell ref="A1:H1"/>
  </mergeCells>
  <dataValidations count="2">
    <dataValidation type="list" allowBlank="1" showInputMessage="1" showErrorMessage="1" sqref="D31" xr:uid="{00000000-0002-0000-0700-000000000000}">
      <formula1>$C$3:$C$27</formula1>
    </dataValidation>
    <dataValidation type="list" allowBlank="1" showInputMessage="1" showErrorMessage="1" sqref="D33" xr:uid="{00000000-0002-0000-0700-000001000000}">
      <formula1>$B$3:$B$27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Question1</vt:lpstr>
      <vt:lpstr>Question2</vt:lpstr>
      <vt:lpstr>Question3</vt:lpstr>
      <vt:lpstr>Question_4</vt:lpstr>
      <vt:lpstr>Question 4</vt:lpstr>
      <vt:lpstr>Question5</vt:lpstr>
      <vt:lpstr>Question6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2025-11-11T09:24:07Z</dcterms:modified>
</cp:coreProperties>
</file>