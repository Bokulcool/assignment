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hidePivotFieldList="1" defaultThemeVersion="124226"/>
  <xr:revisionPtr revIDLastSave="0" documentId="13_ncr:1_{D2BFB9B8-BB1E-4DC8-8FCC-B0F50738DB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1" sheetId="1" r:id="rId1"/>
    <sheet name="Question2" sheetId="3" r:id="rId2"/>
    <sheet name="Question3" sheetId="4" r:id="rId3"/>
    <sheet name="Question4" sheetId="5" r:id="rId4"/>
    <sheet name="Q5" sheetId="6" r:id="rId5"/>
  </sheets>
  <definedNames>
    <definedName name="_xlnm._FilterDatabase" localSheetId="4" hidden="1">'Q5'!$A$74:$I$104</definedName>
    <definedName name="_xlnm._FilterDatabase" localSheetId="1" hidden="1">Question2!$A$2:$N$32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5" i="6" l="1"/>
  <c r="I76" i="6"/>
  <c r="I77" i="6"/>
  <c r="I78" i="6"/>
  <c r="I79" i="6"/>
  <c r="I80" i="6"/>
  <c r="I81" i="6"/>
  <c r="I82" i="6"/>
  <c r="I83" i="6"/>
  <c r="I84" i="6"/>
  <c r="I85" i="6"/>
  <c r="I86" i="6"/>
  <c r="I87" i="6"/>
  <c r="I89" i="6"/>
  <c r="I88" i="6"/>
  <c r="I90" i="6"/>
  <c r="I91" i="6"/>
  <c r="I92" i="6"/>
  <c r="I93" i="6"/>
  <c r="I94" i="6"/>
  <c r="I95" i="6"/>
  <c r="I97" i="6"/>
  <c r="I96" i="6"/>
  <c r="I98" i="6"/>
  <c r="I99" i="6"/>
  <c r="I100" i="6"/>
  <c r="I101" i="6"/>
  <c r="I102" i="6"/>
  <c r="I103" i="6"/>
  <c r="I104" i="6"/>
  <c r="I39" i="6"/>
  <c r="I47" i="6"/>
  <c r="I68" i="6"/>
  <c r="I40" i="6"/>
  <c r="I63" i="6"/>
  <c r="I41" i="6"/>
  <c r="I65" i="6"/>
  <c r="I60" i="6"/>
  <c r="I64" i="6"/>
  <c r="I55" i="6"/>
  <c r="I44" i="6"/>
  <c r="I50" i="6"/>
  <c r="I53" i="6"/>
  <c r="I54" i="6"/>
  <c r="I45" i="6"/>
  <c r="I56" i="6"/>
  <c r="I43" i="6"/>
  <c r="I46" i="6"/>
  <c r="I61" i="6"/>
  <c r="I67" i="6"/>
  <c r="I59" i="6"/>
  <c r="I48" i="6"/>
  <c r="I52" i="6"/>
  <c r="I49" i="6"/>
  <c r="I51" i="6"/>
  <c r="I57" i="6"/>
  <c r="I66" i="6"/>
  <c r="I58" i="6"/>
  <c r="I42" i="6"/>
  <c r="I62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" i="6"/>
  <c r="M15" i="4"/>
  <c r="L6" i="4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" i="1"/>
</calcChain>
</file>

<file path=xl/sharedStrings.xml><?xml version="1.0" encoding="utf-8"?>
<sst xmlns="http://schemas.openxmlformats.org/spreadsheetml/2006/main" count="839" uniqueCount="85">
  <si>
    <t>Order_ID</t>
  </si>
  <si>
    <t>Product</t>
  </si>
  <si>
    <t>Category</t>
  </si>
  <si>
    <t>Quantity</t>
  </si>
  <si>
    <t>Price_Per_Unit</t>
  </si>
  <si>
    <t>Total_Amount</t>
  </si>
  <si>
    <t>Customer_Region</t>
  </si>
  <si>
    <t>Order_Date</t>
  </si>
  <si>
    <t>Wireless Mouse</t>
  </si>
  <si>
    <t>Electronics</t>
  </si>
  <si>
    <t>North</t>
  </si>
  <si>
    <t>Yoga Mat</t>
  </si>
  <si>
    <t>Fitness</t>
  </si>
  <si>
    <t>South</t>
  </si>
  <si>
    <t>Coffee Maker</t>
  </si>
  <si>
    <t>Kitchenware</t>
  </si>
  <si>
    <t>East</t>
  </si>
  <si>
    <t>Bluetooth Speaker</t>
  </si>
  <si>
    <t>West</t>
  </si>
  <si>
    <t>Running Shoes</t>
  </si>
  <si>
    <t>Footwear</t>
  </si>
  <si>
    <t>Smart Watch</t>
  </si>
  <si>
    <t>NULL</t>
  </si>
  <si>
    <t>Treadmill</t>
  </si>
  <si>
    <t>Air Fryer</t>
  </si>
  <si>
    <t>Vacuum Cleaner</t>
  </si>
  <si>
    <t>Appliances</t>
  </si>
  <si>
    <t>Dumbbells</t>
  </si>
  <si>
    <t>Laptop Stand</t>
  </si>
  <si>
    <t>Toaster</t>
  </si>
  <si>
    <t>Air Purifier</t>
  </si>
  <si>
    <t>13-03-2025</t>
  </si>
  <si>
    <t>Resistance Bands</t>
  </si>
  <si>
    <t>14-03-2025</t>
  </si>
  <si>
    <t>Hair Dryer</t>
  </si>
  <si>
    <t>15-03-2025</t>
  </si>
  <si>
    <t>Electric Kettle</t>
  </si>
  <si>
    <t>16-03-2025</t>
  </si>
  <si>
    <t>Office Chair</t>
  </si>
  <si>
    <t>Furniture</t>
  </si>
  <si>
    <t>17-03-2025</t>
  </si>
  <si>
    <t>Adjustable Dumbbells</t>
  </si>
  <si>
    <t>18-03-2025</t>
  </si>
  <si>
    <t>Soundbar</t>
  </si>
  <si>
    <t>19-03-2025</t>
  </si>
  <si>
    <t>Yoga Block</t>
  </si>
  <si>
    <t>20-03-2025</t>
  </si>
  <si>
    <t>Rice Cooker</t>
  </si>
  <si>
    <t>21-03-2025</t>
  </si>
  <si>
    <t>Monitor</t>
  </si>
  <si>
    <t>22-03-2025</t>
  </si>
  <si>
    <t>Iron</t>
  </si>
  <si>
    <t>23-03-2025</t>
  </si>
  <si>
    <t>24-03-2025</t>
  </si>
  <si>
    <t>Smart TV</t>
  </si>
  <si>
    <t>25-03-2025</t>
  </si>
  <si>
    <t>Water Bottle</t>
  </si>
  <si>
    <t>26-03-2025</t>
  </si>
  <si>
    <t>Sofa Set</t>
  </si>
  <si>
    <t>27-03-2025</t>
  </si>
  <si>
    <t>28-03-2025</t>
  </si>
  <si>
    <t>Microwave Oven</t>
  </si>
  <si>
    <t>29-03-2025</t>
  </si>
  <si>
    <t>Laptop</t>
  </si>
  <si>
    <t>30-03-2025</t>
  </si>
  <si>
    <t>Customer_region (remove Space)</t>
  </si>
  <si>
    <t>Customer_region (Upper Case)</t>
  </si>
  <si>
    <t>Sum of Total_Amount</t>
  </si>
  <si>
    <t>Grand Total</t>
  </si>
  <si>
    <t>Vlook Up</t>
  </si>
  <si>
    <t>Order ID</t>
  </si>
  <si>
    <t>Vlookup Value</t>
  </si>
  <si>
    <t>Index</t>
  </si>
  <si>
    <t>INDEX/MATCH for Order_ID = 1027</t>
  </si>
  <si>
    <t>Analys the patter</t>
  </si>
  <si>
    <t>Begining of the month sales is low and end of the moth touch the highest sale</t>
  </si>
  <si>
    <t>Profit Margin</t>
  </si>
  <si>
    <t>Profit Margin decending Order</t>
  </si>
  <si>
    <t xml:space="preserve">Top 3 Highest Profit Margin </t>
  </si>
  <si>
    <t xml:space="preserve">Q.2  PivotTable Analysis                                                                                                                        </t>
  </si>
  <si>
    <t>Customer Region</t>
  </si>
  <si>
    <t>5.Profit Margin Calculation_x001F_</t>
  </si>
  <si>
    <t>4.Trend Analysis_x001F_</t>
  </si>
  <si>
    <t>3.VLOOKUP and INDEX/MATCH Operations?</t>
  </si>
  <si>
    <t>1. Fill the missing values with the rounded average of their respective columnsY
n Remove any leading or trailing spaces in the column using TRIM()                                                                                                                                                                                                                    Convert all Customer_Region values to uppercaseP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</si>
</sst>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FFFFFF"/>
      <name val="Calibri"/>
      <family val="2"/>
    </font>
    <font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8064A2"/>
        <bgColor rgb="FF8064A2"/>
      </patternFill>
    </fill>
    <fill>
      <patternFill patternType="solid">
        <fgColor rgb="FFCCC0DA"/>
        <bgColor rgb="FFCCC0DA"/>
      </patternFill>
    </fill>
    <fill>
      <patternFill patternType="solid">
        <fgColor rgb="FFE4DFEC"/>
        <bgColor rgb="FFE4DFE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B4A7D6"/>
        <bgColor rgb="FFB4A7D6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5" borderId="0" xfId="0" applyFill="1"/>
    <xf numFmtId="0" fontId="2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/>
    </xf>
    <xf numFmtId="0" fontId="0" fillId="5" borderId="0" xfId="0" applyFill="1" applyAlignment="1">
      <alignment horizontal="center"/>
    </xf>
    <xf numFmtId="0" fontId="5" fillId="5" borderId="0" xfId="0" applyFont="1" applyFill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6" fillId="6" borderId="0" xfId="0" applyFont="1" applyFill="1" applyAlignment="1">
      <alignment horizontal="center"/>
    </xf>
    <xf numFmtId="0" fontId="0" fillId="0" borderId="4" xfId="0" applyBorder="1" applyAlignment="1">
      <alignment horizontal="center" wrapText="1"/>
    </xf>
    <xf numFmtId="0" fontId="7" fillId="0" borderId="4" xfId="0" applyFont="1" applyBorder="1" applyAlignment="1">
      <alignment horizontal="center"/>
    </xf>
    <xf numFmtId="0" fontId="5" fillId="7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[Excel_assigment2.xlsx]Question2!PivotTable1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Total Amount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0"/>
              <c:y val="-3.5809024682902924E-3"/>
            </c:manualLayout>
          </c:layout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-1.0362694300518139E-2"/>
              <c:y val="9.2360043853286595E-4"/>
            </c:manualLayout>
          </c:layout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-6.9084628670120921E-3"/>
              <c:y val="5.4281033453559818E-3"/>
            </c:manualLayout>
          </c:layout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0"/>
              <c:y val="-1.5535214749515946E-2"/>
            </c:manualLayout>
          </c:layout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0"/>
              <c:y val="-8.085405375113373E-3"/>
            </c:manualLayout>
          </c:layout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Question2!$M$13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0"/>
                  <c:y val="-8.08540537511337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3DA-42D4-9AB5-1212B2A51153}"/>
                </c:ext>
              </c:extLst>
            </c:dLbl>
            <c:dLbl>
              <c:idx val="1"/>
              <c:layout>
                <c:manualLayout>
                  <c:x val="0"/>
                  <c:y val="-3.580902468290292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3DA-42D4-9AB5-1212B2A51153}"/>
                </c:ext>
              </c:extLst>
            </c:dLbl>
            <c:dLbl>
              <c:idx val="2"/>
              <c:layout>
                <c:manualLayout>
                  <c:x val="0"/>
                  <c:y val="-1.553521474951594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3DA-42D4-9AB5-1212B2A51153}"/>
                </c:ext>
              </c:extLst>
            </c:dLbl>
            <c:dLbl>
              <c:idx val="3"/>
              <c:layout>
                <c:manualLayout>
                  <c:x val="-1.0362694300518139E-2"/>
                  <c:y val="9.2360043853286595E-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3DA-42D4-9AB5-1212B2A51153}"/>
                </c:ext>
              </c:extLst>
            </c:dLbl>
            <c:dLbl>
              <c:idx val="4"/>
              <c:layout>
                <c:manualLayout>
                  <c:x val="-6.9084628670120921E-3"/>
                  <c:y val="5.428103345355981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3DA-42D4-9AB5-1212B2A51153}"/>
                </c:ext>
              </c:extLst>
            </c:dLbl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Question2!$L$14:$L$19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NULL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Question2!$M$14:$M$19</c:f>
              <c:numCache>
                <c:formatCode>General</c:formatCode>
                <c:ptCount val="5"/>
                <c:pt idx="0">
                  <c:v>116300</c:v>
                </c:pt>
                <c:pt idx="1">
                  <c:v>137700</c:v>
                </c:pt>
                <c:pt idx="2">
                  <c:v>14000</c:v>
                </c:pt>
                <c:pt idx="3">
                  <c:v>100600</c:v>
                </c:pt>
                <c:pt idx="4">
                  <c:v>123400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3DA-42D4-9AB5-1212B2A51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163700096"/>
        <c:axId val="167384192"/>
      </c:barChart>
      <c:catAx>
        <c:axId val="1637000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67384192"/>
        <c:crosses val="autoZero"/>
        <c:auto val="1"/>
        <c:lblAlgn val="ctr"/>
        <c:lblOffset val="100"/>
        <c:noMultiLvlLbl val="0"/>
      </c:catAx>
      <c:valAx>
        <c:axId val="16738419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637000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4446522309711286"/>
          <c:y val="2.3148148148148147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Question4!$F$2</c:f>
              <c:strCache>
                <c:ptCount val="1"/>
                <c:pt idx="0">
                  <c:v>Total_Amount</c:v>
                </c:pt>
              </c:strCache>
            </c:strRef>
          </c:tx>
          <c:marker>
            <c:symbol val="none"/>
          </c:marker>
          <c:cat>
            <c:strRef>
              <c:f>Question4!$H$3:$H$32</c:f>
              <c:strCache>
                <c:ptCount val="30"/>
                <c:pt idx="0">
                  <c:v>01-03-2025</c:v>
                </c:pt>
                <c:pt idx="1">
                  <c:v>02-03-2025</c:v>
                </c:pt>
                <c:pt idx="2">
                  <c:v>03-03-2025</c:v>
                </c:pt>
                <c:pt idx="3">
                  <c:v>04-03-2025</c:v>
                </c:pt>
                <c:pt idx="4">
                  <c:v>05-03-2025</c:v>
                </c:pt>
                <c:pt idx="5">
                  <c:v>06-03-2025</c:v>
                </c:pt>
                <c:pt idx="6">
                  <c:v>07-03-2025</c:v>
                </c:pt>
                <c:pt idx="7">
                  <c:v>08-03-2025</c:v>
                </c:pt>
                <c:pt idx="8">
                  <c:v>09-03-2025</c:v>
                </c:pt>
                <c:pt idx="9">
                  <c:v>10-03-2025</c:v>
                </c:pt>
                <c:pt idx="10">
                  <c:v>11-03-2025</c:v>
                </c:pt>
                <c:pt idx="11">
                  <c:v>12-03-2025</c:v>
                </c:pt>
                <c:pt idx="12">
                  <c:v>13-03-2025</c:v>
                </c:pt>
                <c:pt idx="13">
                  <c:v>14-03-2025</c:v>
                </c:pt>
                <c:pt idx="14">
                  <c:v>15-03-2025</c:v>
                </c:pt>
                <c:pt idx="15">
                  <c:v>16-03-2025</c:v>
                </c:pt>
                <c:pt idx="16">
                  <c:v>17-03-2025</c:v>
                </c:pt>
                <c:pt idx="17">
                  <c:v>18-03-2025</c:v>
                </c:pt>
                <c:pt idx="18">
                  <c:v>19-03-2025</c:v>
                </c:pt>
                <c:pt idx="19">
                  <c:v>20-03-2025</c:v>
                </c:pt>
                <c:pt idx="20">
                  <c:v>21-03-2025</c:v>
                </c:pt>
                <c:pt idx="21">
                  <c:v>22-03-2025</c:v>
                </c:pt>
                <c:pt idx="22">
                  <c:v>23-03-2025</c:v>
                </c:pt>
                <c:pt idx="23">
                  <c:v>24-03-2025</c:v>
                </c:pt>
                <c:pt idx="24">
                  <c:v>25-03-2025</c:v>
                </c:pt>
                <c:pt idx="25">
                  <c:v>26-03-2025</c:v>
                </c:pt>
                <c:pt idx="26">
                  <c:v>27-03-2025</c:v>
                </c:pt>
                <c:pt idx="27">
                  <c:v>28-03-2025</c:v>
                </c:pt>
                <c:pt idx="28">
                  <c:v>29-03-2025</c:v>
                </c:pt>
                <c:pt idx="29">
                  <c:v>30-03-2025</c:v>
                </c:pt>
              </c:strCache>
            </c:strRef>
          </c:cat>
          <c:val>
            <c:numRef>
              <c:f>Question4!$F$3:$F$32</c:f>
              <c:numCache>
                <c:formatCode>General</c:formatCode>
                <c:ptCount val="30"/>
                <c:pt idx="0">
                  <c:v>1500</c:v>
                </c:pt>
                <c:pt idx="1">
                  <c:v>16400</c:v>
                </c:pt>
                <c:pt idx="2">
                  <c:v>3500</c:v>
                </c:pt>
                <c:pt idx="3">
                  <c:v>16400</c:v>
                </c:pt>
                <c:pt idx="4">
                  <c:v>5000</c:v>
                </c:pt>
                <c:pt idx="5">
                  <c:v>14000</c:v>
                </c:pt>
                <c:pt idx="6">
                  <c:v>16400</c:v>
                </c:pt>
                <c:pt idx="7">
                  <c:v>13500</c:v>
                </c:pt>
                <c:pt idx="8">
                  <c:v>16400</c:v>
                </c:pt>
                <c:pt idx="9">
                  <c:v>3000</c:v>
                </c:pt>
                <c:pt idx="10">
                  <c:v>16400</c:v>
                </c:pt>
                <c:pt idx="11">
                  <c:v>2200</c:v>
                </c:pt>
                <c:pt idx="12">
                  <c:v>24000</c:v>
                </c:pt>
                <c:pt idx="13">
                  <c:v>16400</c:v>
                </c:pt>
                <c:pt idx="14">
                  <c:v>5400</c:v>
                </c:pt>
                <c:pt idx="15">
                  <c:v>16400</c:v>
                </c:pt>
                <c:pt idx="16">
                  <c:v>8000</c:v>
                </c:pt>
                <c:pt idx="17">
                  <c:v>11000</c:v>
                </c:pt>
                <c:pt idx="18">
                  <c:v>20000</c:v>
                </c:pt>
                <c:pt idx="19">
                  <c:v>16400</c:v>
                </c:pt>
                <c:pt idx="20">
                  <c:v>8000</c:v>
                </c:pt>
                <c:pt idx="21">
                  <c:v>16400</c:v>
                </c:pt>
                <c:pt idx="22">
                  <c:v>2500</c:v>
                </c:pt>
                <c:pt idx="23">
                  <c:v>16400</c:v>
                </c:pt>
                <c:pt idx="24">
                  <c:v>40000</c:v>
                </c:pt>
                <c:pt idx="25">
                  <c:v>1000</c:v>
                </c:pt>
                <c:pt idx="26">
                  <c:v>55000</c:v>
                </c:pt>
                <c:pt idx="27">
                  <c:v>16400</c:v>
                </c:pt>
                <c:pt idx="28">
                  <c:v>24000</c:v>
                </c:pt>
                <c:pt idx="29">
                  <c:v>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7C-4C41-BAEC-50B048711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819520"/>
        <c:axId val="127018112"/>
      </c:lineChart>
      <c:catAx>
        <c:axId val="1698195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27018112"/>
        <c:crosses val="autoZero"/>
        <c:auto val="1"/>
        <c:lblAlgn val="ctr"/>
        <c:lblOffset val="100"/>
        <c:noMultiLvlLbl val="0"/>
      </c:catAx>
      <c:valAx>
        <c:axId val="1270181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9819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142875</xdr:colOff>
      <xdr:row>22</xdr:row>
      <xdr:rowOff>161924</xdr:rowOff>
    </xdr:from>
    <xdr:to>
      <xdr:col>13</xdr:col>
      <xdr:colOff>361950</xdr:colOff>
      <xdr:row>37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247650</xdr:colOff>
      <xdr:row>4</xdr:row>
      <xdr:rowOff>161924</xdr:rowOff>
    </xdr:from>
    <xdr:to>
      <xdr:col>15</xdr:col>
      <xdr:colOff>552450</xdr:colOff>
      <xdr:row>22</xdr:row>
      <xdr:rowOff>76199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837.423734027776" createdVersion="3" refreshedVersion="3" minRefreshableVersion="3" recordCount="30" xr:uid="{00000000-000A-0000-FFFF-FFFF03000000}">
  <cacheSource type="worksheet">
    <worksheetSource ref="A2:H32" sheet="Question2"/>
  </cacheSource>
  <cacheFields count="8">
    <cacheField name="Order_ID" numFmtId="0">
      <sharedItems containsSemiMixedTypes="0" containsString="0" containsNumber="1" containsInteger="1" minValue="1001" maxValue="1030"/>
    </cacheField>
    <cacheField name="Product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5"/>
    </cacheField>
    <cacheField name="Price_Per_Unit" numFmtId="0">
      <sharedItems containsSemiMixedTypes="0" containsString="0" containsNumber="1" containsInteger="1" minValue="200" maxValue="70000"/>
    </cacheField>
    <cacheField name="Total_Amount" numFmtId="0">
      <sharedItems containsSemiMixedTypes="0" containsString="0" containsNumber="1" containsInteger="1" minValue="1000" maxValue="70000"/>
    </cacheField>
    <cacheField name="Customer_Region" numFmtId="0">
      <sharedItems count="5">
        <s v="North"/>
        <s v="South"/>
        <s v="East"/>
        <s v="West"/>
        <s v="NULL"/>
      </sharedItems>
    </cacheField>
    <cacheField name="Order_Date" numFmtId="0">
      <sharedItems containsDate="1" containsMixedTypes="1" minDate="2025-01-03T00:00:00" maxDate="2025-12-04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n v="1001"/>
    <s v="Wireless Mouse"/>
    <s v="Electronics"/>
    <n v="3"/>
    <n v="500"/>
    <n v="1500"/>
    <x v="0"/>
    <d v="2025-01-03T00:00:00"/>
  </r>
  <r>
    <n v="1002"/>
    <s v="Yoga Mat"/>
    <s v="Fitness"/>
    <n v="2"/>
    <n v="800"/>
    <n v="16400"/>
    <x v="1"/>
    <d v="2025-02-03T00:00:00"/>
  </r>
  <r>
    <n v="1003"/>
    <s v="Coffee Maker"/>
    <s v="Kitchenware"/>
    <n v="1"/>
    <n v="3500"/>
    <n v="3500"/>
    <x v="2"/>
    <d v="2025-03-03T00:00:00"/>
  </r>
  <r>
    <n v="1004"/>
    <s v="Bluetooth Speaker"/>
    <s v="Electronics"/>
    <n v="4"/>
    <n v="12619"/>
    <n v="16400"/>
    <x v="3"/>
    <d v="2025-04-03T00:00:00"/>
  </r>
  <r>
    <n v="1005"/>
    <s v="Running Shoes"/>
    <s v="Footwear"/>
    <n v="2"/>
    <n v="2500"/>
    <n v="5000"/>
    <x v="0"/>
    <d v="2025-05-03T00:00:00"/>
  </r>
  <r>
    <n v="1006"/>
    <s v="Smart Watch"/>
    <s v="Electronics"/>
    <n v="2"/>
    <n v="7000"/>
    <n v="14000"/>
    <x v="4"/>
    <d v="2025-06-03T00:00:00"/>
  </r>
  <r>
    <n v="1007"/>
    <s v="Treadmill"/>
    <s v="Fitness"/>
    <n v="1"/>
    <n v="12619"/>
    <n v="16400"/>
    <x v="1"/>
    <d v="2025-07-03T00:00:00"/>
  </r>
  <r>
    <n v="1008"/>
    <s v="Air Fryer"/>
    <s v="Kitchenware"/>
    <n v="3"/>
    <n v="4500"/>
    <n v="13500"/>
    <x v="2"/>
    <d v="2025-08-03T00:00:00"/>
  </r>
  <r>
    <n v="1009"/>
    <s v="Vacuum Cleaner"/>
    <s v="Appliances"/>
    <n v="2"/>
    <n v="6000"/>
    <n v="16400"/>
    <x v="0"/>
    <d v="2025-09-03T00:00:00"/>
  </r>
  <r>
    <n v="1010"/>
    <s v="Dumbbells"/>
    <s v="Fitness"/>
    <n v="2"/>
    <n v="1500"/>
    <n v="3000"/>
    <x v="3"/>
    <d v="2025-10-03T00:00:00"/>
  </r>
  <r>
    <n v="1011"/>
    <s v="Laptop Stand"/>
    <s v="Electronics"/>
    <n v="5"/>
    <n v="12619"/>
    <n v="16400"/>
    <x v="2"/>
    <d v="2025-11-03T00:00:00"/>
  </r>
  <r>
    <n v="1012"/>
    <s v="Toaster"/>
    <s v="Kitchenware"/>
    <n v="1"/>
    <n v="2200"/>
    <n v="2200"/>
    <x v="1"/>
    <d v="2025-12-03T00:00:00"/>
  </r>
  <r>
    <n v="1013"/>
    <s v="Air Purifier"/>
    <s v="Appliances"/>
    <n v="2"/>
    <n v="12000"/>
    <n v="24000"/>
    <x v="3"/>
    <s v="13-03-2025"/>
  </r>
  <r>
    <n v="1014"/>
    <s v="Resistance Bands"/>
    <s v="Fitness"/>
    <n v="2"/>
    <n v="900"/>
    <n v="16400"/>
    <x v="0"/>
    <s v="14-03-2025"/>
  </r>
  <r>
    <n v="1015"/>
    <s v="Hair Dryer"/>
    <s v="Appliances"/>
    <n v="3"/>
    <n v="1800"/>
    <n v="5400"/>
    <x v="2"/>
    <s v="15-03-2025"/>
  </r>
  <r>
    <n v="1016"/>
    <s v="Electric Kettle"/>
    <s v="Kitchenware"/>
    <n v="2"/>
    <n v="1500"/>
    <n v="16400"/>
    <x v="1"/>
    <s v="16-03-2025"/>
  </r>
  <r>
    <n v="1017"/>
    <s v="Office Chair"/>
    <s v="Furniture"/>
    <n v="1"/>
    <n v="8000"/>
    <n v="8000"/>
    <x v="3"/>
    <s v="17-03-2025"/>
  </r>
  <r>
    <n v="1018"/>
    <s v="Adjustable Dumbbells"/>
    <s v="Fitness"/>
    <n v="2"/>
    <n v="5500"/>
    <n v="11000"/>
    <x v="0"/>
    <s v="18-03-2025"/>
  </r>
  <r>
    <n v="1019"/>
    <s v="Soundbar"/>
    <s v="Electronics"/>
    <n v="1"/>
    <n v="20000"/>
    <n v="20000"/>
    <x v="2"/>
    <s v="19-03-2025"/>
  </r>
  <r>
    <n v="1020"/>
    <s v="Yoga Block"/>
    <s v="Fitness"/>
    <n v="2"/>
    <n v="1200"/>
    <n v="16400"/>
    <x v="1"/>
    <s v="20-03-2025"/>
  </r>
  <r>
    <n v="1021"/>
    <s v="Rice Cooker"/>
    <s v="Kitchenware"/>
    <n v="2"/>
    <n v="4000"/>
    <n v="8000"/>
    <x v="3"/>
    <s v="21-03-2025"/>
  </r>
  <r>
    <n v="1022"/>
    <s v="Monitor"/>
    <s v="Electronics"/>
    <n v="2"/>
    <n v="15000"/>
    <n v="16400"/>
    <x v="0"/>
    <s v="22-03-2025"/>
  </r>
  <r>
    <n v="1023"/>
    <s v="Iron"/>
    <s v="Appliances"/>
    <n v="1"/>
    <n v="2500"/>
    <n v="2500"/>
    <x v="2"/>
    <s v="23-03-2025"/>
  </r>
  <r>
    <n v="1024"/>
    <s v="Resistance Bands"/>
    <s v="Fitness"/>
    <n v="3"/>
    <n v="12619"/>
    <n v="16400"/>
    <x v="1"/>
    <s v="24-03-2025"/>
  </r>
  <r>
    <n v="1025"/>
    <s v="Smart TV"/>
    <s v="Electronics"/>
    <n v="1"/>
    <n v="40000"/>
    <n v="40000"/>
    <x v="3"/>
    <s v="25-03-2025"/>
  </r>
  <r>
    <n v="1026"/>
    <s v="Water Bottle"/>
    <s v="Kitchenware"/>
    <n v="5"/>
    <n v="200"/>
    <n v="1000"/>
    <x v="0"/>
    <s v="26-03-2025"/>
  </r>
  <r>
    <n v="1027"/>
    <s v="Sofa Set"/>
    <s v="Furniture"/>
    <n v="1"/>
    <n v="55000"/>
    <n v="55000"/>
    <x v="2"/>
    <s v="27-03-2025"/>
  </r>
  <r>
    <n v="1028"/>
    <s v="Treadmill"/>
    <s v="Fitness"/>
    <n v="2"/>
    <n v="50000"/>
    <n v="16400"/>
    <x v="1"/>
    <s v="28-03-2025"/>
  </r>
  <r>
    <n v="1029"/>
    <s v="Microwave Oven"/>
    <s v="Appliances"/>
    <n v="2"/>
    <n v="12000"/>
    <n v="24000"/>
    <x v="3"/>
    <s v="29-03-2025"/>
  </r>
  <r>
    <n v="1030"/>
    <s v="Laptop"/>
    <s v="Electronics"/>
    <n v="1"/>
    <n v="70000"/>
    <n v="70000"/>
    <x v="0"/>
    <s v="30-03-20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 rowHeaderCaption="Customer Region">
  <location ref="L13:M19" firstHeaderRow="1" firstDataRow="1" firstDataCol="1"/>
  <pivotFields count="8"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2"/>
        <item x="0"/>
        <item x="4"/>
        <item x="1"/>
        <item x="3"/>
        <item t="default"/>
      </items>
    </pivotField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Amount" fld="5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workbookViewId="0">
      <selection activeCell="L9" sqref="L9"/>
    </sheetView>
  </sheetViews>
  <sheetFormatPr defaultRowHeight="14.4" x14ac:dyDescent="0.3"/>
  <cols>
    <col min="2" max="2" width="20.88671875" bestFit="1" customWidth="1"/>
    <col min="3" max="3" width="13.44140625" customWidth="1"/>
    <col min="5" max="5" width="14.44140625" bestFit="1" customWidth="1"/>
    <col min="6" max="6" width="13.6640625" bestFit="1" customWidth="1"/>
    <col min="7" max="7" width="16.88671875" bestFit="1" customWidth="1"/>
    <col min="8" max="8" width="14" customWidth="1"/>
    <col min="9" max="9" width="20.6640625" customWidth="1"/>
    <col min="10" max="10" width="15.44140625" customWidth="1"/>
  </cols>
  <sheetData>
    <row r="1" spans="1:10" ht="87" customHeight="1" x14ac:dyDescent="0.3">
      <c r="A1" s="15" t="s">
        <v>84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37.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6" t="s">
        <v>65</v>
      </c>
      <c r="J2" s="6" t="s">
        <v>66</v>
      </c>
    </row>
    <row r="3" spans="1:10" x14ac:dyDescent="0.3">
      <c r="A3" s="2">
        <v>1001</v>
      </c>
      <c r="B3" s="2" t="s">
        <v>8</v>
      </c>
      <c r="C3" s="2" t="s">
        <v>9</v>
      </c>
      <c r="D3" s="2">
        <v>3</v>
      </c>
      <c r="E3" s="2">
        <v>500</v>
      </c>
      <c r="F3" s="2">
        <v>1500</v>
      </c>
      <c r="G3" s="2" t="s">
        <v>10</v>
      </c>
      <c r="H3" s="3">
        <v>45660</v>
      </c>
      <c r="I3" t="str">
        <f>TRIM(G3)</f>
        <v>North</v>
      </c>
      <c r="J3" t="str">
        <f>UPPER(G3)</f>
        <v>NORTH</v>
      </c>
    </row>
    <row r="4" spans="1:10" x14ac:dyDescent="0.3">
      <c r="A4" s="4">
        <v>1002</v>
      </c>
      <c r="B4" s="4" t="s">
        <v>11</v>
      </c>
      <c r="C4" s="4" t="s">
        <v>12</v>
      </c>
      <c r="D4" s="4">
        <v>2</v>
      </c>
      <c r="E4" s="4">
        <v>800</v>
      </c>
      <c r="F4" s="4">
        <v>16400</v>
      </c>
      <c r="G4" s="4" t="s">
        <v>13</v>
      </c>
      <c r="H4" s="5">
        <v>45691</v>
      </c>
      <c r="I4" t="str">
        <f t="shared" ref="I4:I32" si="0">TRIM(G4)</f>
        <v>South</v>
      </c>
      <c r="J4" t="str">
        <f t="shared" ref="J4:J32" si="1">UPPER(G4)</f>
        <v>SOUTH</v>
      </c>
    </row>
    <row r="5" spans="1:10" x14ac:dyDescent="0.3">
      <c r="A5" s="2">
        <v>1003</v>
      </c>
      <c r="B5" s="2" t="s">
        <v>14</v>
      </c>
      <c r="C5" s="2" t="s">
        <v>15</v>
      </c>
      <c r="D5" s="2">
        <v>1</v>
      </c>
      <c r="E5" s="2">
        <v>3500</v>
      </c>
      <c r="F5" s="2">
        <v>3500</v>
      </c>
      <c r="G5" s="2" t="s">
        <v>16</v>
      </c>
      <c r="H5" s="3">
        <v>45719</v>
      </c>
      <c r="I5" t="str">
        <f t="shared" si="0"/>
        <v>East</v>
      </c>
      <c r="J5" t="str">
        <f t="shared" si="1"/>
        <v>EAST</v>
      </c>
    </row>
    <row r="6" spans="1:10" x14ac:dyDescent="0.3">
      <c r="A6" s="4">
        <v>1004</v>
      </c>
      <c r="B6" s="4" t="s">
        <v>17</v>
      </c>
      <c r="C6" s="4" t="s">
        <v>9</v>
      </c>
      <c r="D6" s="4">
        <v>4</v>
      </c>
      <c r="E6" s="4">
        <v>12619</v>
      </c>
      <c r="F6" s="4">
        <v>16400</v>
      </c>
      <c r="G6" s="4" t="s">
        <v>18</v>
      </c>
      <c r="H6" s="5">
        <v>45750</v>
      </c>
      <c r="I6" t="str">
        <f t="shared" si="0"/>
        <v>West</v>
      </c>
      <c r="J6" t="str">
        <f t="shared" si="1"/>
        <v>WEST</v>
      </c>
    </row>
    <row r="7" spans="1:10" x14ac:dyDescent="0.3">
      <c r="A7" s="2">
        <v>1005</v>
      </c>
      <c r="B7" s="2" t="s">
        <v>19</v>
      </c>
      <c r="C7" s="2" t="s">
        <v>20</v>
      </c>
      <c r="D7" s="2">
        <v>2</v>
      </c>
      <c r="E7" s="2">
        <v>2500</v>
      </c>
      <c r="F7" s="2">
        <v>5000</v>
      </c>
      <c r="G7" s="2" t="s">
        <v>10</v>
      </c>
      <c r="H7" s="3">
        <v>45780</v>
      </c>
      <c r="I7" t="str">
        <f t="shared" si="0"/>
        <v>North</v>
      </c>
      <c r="J7" t="str">
        <f t="shared" si="1"/>
        <v>NORTH</v>
      </c>
    </row>
    <row r="8" spans="1:10" x14ac:dyDescent="0.3">
      <c r="A8" s="4">
        <v>1006</v>
      </c>
      <c r="B8" s="4" t="s">
        <v>21</v>
      </c>
      <c r="C8" s="4" t="s">
        <v>9</v>
      </c>
      <c r="D8" s="4">
        <v>2</v>
      </c>
      <c r="E8" s="4">
        <v>7000</v>
      </c>
      <c r="F8" s="4">
        <v>14000</v>
      </c>
      <c r="G8" s="4" t="s">
        <v>22</v>
      </c>
      <c r="H8" s="5">
        <v>45811</v>
      </c>
      <c r="I8" t="str">
        <f t="shared" si="0"/>
        <v>NULL</v>
      </c>
      <c r="J8" t="str">
        <f t="shared" si="1"/>
        <v>NULL</v>
      </c>
    </row>
    <row r="9" spans="1:10" x14ac:dyDescent="0.3">
      <c r="A9" s="2">
        <v>1007</v>
      </c>
      <c r="B9" s="2" t="s">
        <v>23</v>
      </c>
      <c r="C9" s="2" t="s">
        <v>12</v>
      </c>
      <c r="D9" s="2">
        <v>1</v>
      </c>
      <c r="E9" s="2">
        <v>12619</v>
      </c>
      <c r="F9" s="2">
        <v>16400</v>
      </c>
      <c r="G9" s="2" t="s">
        <v>13</v>
      </c>
      <c r="H9" s="3">
        <v>45841</v>
      </c>
      <c r="I9" t="str">
        <f t="shared" si="0"/>
        <v>South</v>
      </c>
      <c r="J9" t="str">
        <f t="shared" si="1"/>
        <v>SOUTH</v>
      </c>
    </row>
    <row r="10" spans="1:10" x14ac:dyDescent="0.3">
      <c r="A10" s="4">
        <v>1008</v>
      </c>
      <c r="B10" s="4" t="s">
        <v>24</v>
      </c>
      <c r="C10" s="4" t="s">
        <v>15</v>
      </c>
      <c r="D10" s="4">
        <v>3</v>
      </c>
      <c r="E10" s="4">
        <v>4500</v>
      </c>
      <c r="F10" s="4">
        <v>13500</v>
      </c>
      <c r="G10" s="4" t="s">
        <v>16</v>
      </c>
      <c r="H10" s="5">
        <v>45872</v>
      </c>
      <c r="I10" t="str">
        <f t="shared" si="0"/>
        <v>East</v>
      </c>
      <c r="J10" t="str">
        <f t="shared" si="1"/>
        <v>EAST</v>
      </c>
    </row>
    <row r="11" spans="1:10" x14ac:dyDescent="0.3">
      <c r="A11" s="2">
        <v>1009</v>
      </c>
      <c r="B11" s="2" t="s">
        <v>25</v>
      </c>
      <c r="C11" s="2" t="s">
        <v>26</v>
      </c>
      <c r="D11" s="2">
        <v>2</v>
      </c>
      <c r="E11" s="2">
        <v>6000</v>
      </c>
      <c r="F11" s="2">
        <v>16400</v>
      </c>
      <c r="G11" s="2" t="s">
        <v>10</v>
      </c>
      <c r="H11" s="3">
        <v>45903</v>
      </c>
      <c r="I11" t="str">
        <f t="shared" si="0"/>
        <v>North</v>
      </c>
      <c r="J11" t="str">
        <f t="shared" si="1"/>
        <v>NORTH</v>
      </c>
    </row>
    <row r="12" spans="1:10" x14ac:dyDescent="0.3">
      <c r="A12" s="4">
        <v>1010</v>
      </c>
      <c r="B12" s="4" t="s">
        <v>27</v>
      </c>
      <c r="C12" s="4" t="s">
        <v>12</v>
      </c>
      <c r="D12" s="4">
        <v>2</v>
      </c>
      <c r="E12" s="4">
        <v>1500</v>
      </c>
      <c r="F12" s="4">
        <v>3000</v>
      </c>
      <c r="G12" s="4" t="s">
        <v>18</v>
      </c>
      <c r="H12" s="5">
        <v>45933</v>
      </c>
      <c r="I12" t="str">
        <f t="shared" si="0"/>
        <v>West</v>
      </c>
      <c r="J12" t="str">
        <f t="shared" si="1"/>
        <v>WEST</v>
      </c>
    </row>
    <row r="13" spans="1:10" x14ac:dyDescent="0.3">
      <c r="A13" s="2">
        <v>1011</v>
      </c>
      <c r="B13" s="2" t="s">
        <v>28</v>
      </c>
      <c r="C13" s="2" t="s">
        <v>9</v>
      </c>
      <c r="D13" s="2">
        <v>5</v>
      </c>
      <c r="E13" s="2">
        <v>12619</v>
      </c>
      <c r="F13" s="2">
        <v>16400</v>
      </c>
      <c r="G13" s="2" t="s">
        <v>16</v>
      </c>
      <c r="H13" s="3">
        <v>45964</v>
      </c>
      <c r="I13" t="str">
        <f t="shared" si="0"/>
        <v>East</v>
      </c>
      <c r="J13" t="str">
        <f t="shared" si="1"/>
        <v>EAST</v>
      </c>
    </row>
    <row r="14" spans="1:10" x14ac:dyDescent="0.3">
      <c r="A14" s="4">
        <v>1012</v>
      </c>
      <c r="B14" s="4" t="s">
        <v>29</v>
      </c>
      <c r="C14" s="4" t="s">
        <v>15</v>
      </c>
      <c r="D14" s="4">
        <v>1</v>
      </c>
      <c r="E14" s="4">
        <v>2200</v>
      </c>
      <c r="F14" s="4">
        <v>2200</v>
      </c>
      <c r="G14" s="4" t="s">
        <v>13</v>
      </c>
      <c r="H14" s="5">
        <v>45994</v>
      </c>
      <c r="I14" t="str">
        <f t="shared" si="0"/>
        <v>South</v>
      </c>
      <c r="J14" t="str">
        <f t="shared" si="1"/>
        <v>SOUTH</v>
      </c>
    </row>
    <row r="15" spans="1:10" x14ac:dyDescent="0.3">
      <c r="A15" s="2">
        <v>1013</v>
      </c>
      <c r="B15" s="2" t="s">
        <v>30</v>
      </c>
      <c r="C15" s="2" t="s">
        <v>26</v>
      </c>
      <c r="D15" s="2">
        <v>2</v>
      </c>
      <c r="E15" s="2">
        <v>12000</v>
      </c>
      <c r="F15" s="2">
        <v>24000</v>
      </c>
      <c r="G15" s="2" t="s">
        <v>18</v>
      </c>
      <c r="H15" s="2" t="s">
        <v>31</v>
      </c>
      <c r="I15" t="str">
        <f t="shared" si="0"/>
        <v>West</v>
      </c>
      <c r="J15" t="str">
        <f t="shared" si="1"/>
        <v>WEST</v>
      </c>
    </row>
    <row r="16" spans="1:10" x14ac:dyDescent="0.3">
      <c r="A16" s="4">
        <v>1014</v>
      </c>
      <c r="B16" s="4" t="s">
        <v>32</v>
      </c>
      <c r="C16" s="4" t="s">
        <v>12</v>
      </c>
      <c r="D16" s="4">
        <v>2</v>
      </c>
      <c r="E16" s="4">
        <v>900</v>
      </c>
      <c r="F16" s="4">
        <v>16400</v>
      </c>
      <c r="G16" s="4" t="s">
        <v>10</v>
      </c>
      <c r="H16" s="4" t="s">
        <v>33</v>
      </c>
      <c r="I16" t="str">
        <f t="shared" si="0"/>
        <v>North</v>
      </c>
      <c r="J16" t="str">
        <f t="shared" si="1"/>
        <v>NORTH</v>
      </c>
    </row>
    <row r="17" spans="1:10" x14ac:dyDescent="0.3">
      <c r="A17" s="2">
        <v>1015</v>
      </c>
      <c r="B17" s="2" t="s">
        <v>34</v>
      </c>
      <c r="C17" s="2" t="s">
        <v>26</v>
      </c>
      <c r="D17" s="2">
        <v>3</v>
      </c>
      <c r="E17" s="2">
        <v>1800</v>
      </c>
      <c r="F17" s="2">
        <v>5400</v>
      </c>
      <c r="G17" s="2" t="s">
        <v>16</v>
      </c>
      <c r="H17" s="2" t="s">
        <v>35</v>
      </c>
      <c r="I17" t="str">
        <f t="shared" si="0"/>
        <v>East</v>
      </c>
      <c r="J17" t="str">
        <f t="shared" si="1"/>
        <v>EAST</v>
      </c>
    </row>
    <row r="18" spans="1:10" x14ac:dyDescent="0.3">
      <c r="A18" s="4">
        <v>1016</v>
      </c>
      <c r="B18" s="4" t="s">
        <v>36</v>
      </c>
      <c r="C18" s="4" t="s">
        <v>15</v>
      </c>
      <c r="D18" s="4">
        <v>2</v>
      </c>
      <c r="E18" s="4">
        <v>1500</v>
      </c>
      <c r="F18" s="4">
        <v>16400</v>
      </c>
      <c r="G18" s="4" t="s">
        <v>13</v>
      </c>
      <c r="H18" s="4" t="s">
        <v>37</v>
      </c>
      <c r="I18" t="str">
        <f t="shared" si="0"/>
        <v>South</v>
      </c>
      <c r="J18" t="str">
        <f t="shared" si="1"/>
        <v>SOUTH</v>
      </c>
    </row>
    <row r="19" spans="1:10" x14ac:dyDescent="0.3">
      <c r="A19" s="2">
        <v>1017</v>
      </c>
      <c r="B19" s="2" t="s">
        <v>38</v>
      </c>
      <c r="C19" s="2" t="s">
        <v>39</v>
      </c>
      <c r="D19" s="2">
        <v>1</v>
      </c>
      <c r="E19" s="2">
        <v>8000</v>
      </c>
      <c r="F19" s="2">
        <v>8000</v>
      </c>
      <c r="G19" s="2" t="s">
        <v>18</v>
      </c>
      <c r="H19" s="2" t="s">
        <v>40</v>
      </c>
      <c r="I19" t="str">
        <f t="shared" si="0"/>
        <v>West</v>
      </c>
      <c r="J19" t="str">
        <f t="shared" si="1"/>
        <v>WEST</v>
      </c>
    </row>
    <row r="20" spans="1:10" x14ac:dyDescent="0.3">
      <c r="A20" s="4">
        <v>1018</v>
      </c>
      <c r="B20" s="4" t="s">
        <v>41</v>
      </c>
      <c r="C20" s="4" t="s">
        <v>12</v>
      </c>
      <c r="D20" s="4">
        <v>2</v>
      </c>
      <c r="E20" s="4">
        <v>5500</v>
      </c>
      <c r="F20" s="4">
        <v>11000</v>
      </c>
      <c r="G20" s="4" t="s">
        <v>10</v>
      </c>
      <c r="H20" s="4" t="s">
        <v>42</v>
      </c>
      <c r="I20" t="str">
        <f t="shared" si="0"/>
        <v>North</v>
      </c>
      <c r="J20" t="str">
        <f t="shared" si="1"/>
        <v>NORTH</v>
      </c>
    </row>
    <row r="21" spans="1:10" x14ac:dyDescent="0.3">
      <c r="A21" s="2">
        <v>1019</v>
      </c>
      <c r="B21" s="2" t="s">
        <v>43</v>
      </c>
      <c r="C21" s="2" t="s">
        <v>9</v>
      </c>
      <c r="D21" s="2">
        <v>1</v>
      </c>
      <c r="E21" s="2">
        <v>20000</v>
      </c>
      <c r="F21" s="2">
        <v>20000</v>
      </c>
      <c r="G21" s="2" t="s">
        <v>16</v>
      </c>
      <c r="H21" s="2" t="s">
        <v>44</v>
      </c>
      <c r="I21" t="str">
        <f t="shared" si="0"/>
        <v>East</v>
      </c>
      <c r="J21" t="str">
        <f t="shared" si="1"/>
        <v>EAST</v>
      </c>
    </row>
    <row r="22" spans="1:10" x14ac:dyDescent="0.3">
      <c r="A22" s="4">
        <v>1020</v>
      </c>
      <c r="B22" s="4" t="s">
        <v>45</v>
      </c>
      <c r="C22" s="4" t="s">
        <v>12</v>
      </c>
      <c r="D22" s="4">
        <v>2</v>
      </c>
      <c r="E22" s="4">
        <v>1200</v>
      </c>
      <c r="F22" s="4">
        <v>16400</v>
      </c>
      <c r="G22" s="4" t="s">
        <v>13</v>
      </c>
      <c r="H22" s="4" t="s">
        <v>46</v>
      </c>
      <c r="I22" t="str">
        <f t="shared" si="0"/>
        <v>South</v>
      </c>
      <c r="J22" t="str">
        <f t="shared" si="1"/>
        <v>SOUTH</v>
      </c>
    </row>
    <row r="23" spans="1:10" x14ac:dyDescent="0.3">
      <c r="A23" s="2">
        <v>1021</v>
      </c>
      <c r="B23" s="2" t="s">
        <v>47</v>
      </c>
      <c r="C23" s="2" t="s">
        <v>15</v>
      </c>
      <c r="D23" s="2">
        <v>2</v>
      </c>
      <c r="E23" s="2">
        <v>4000</v>
      </c>
      <c r="F23" s="2">
        <v>8000</v>
      </c>
      <c r="G23" s="2" t="s">
        <v>18</v>
      </c>
      <c r="H23" s="2" t="s">
        <v>48</v>
      </c>
      <c r="I23" t="str">
        <f t="shared" si="0"/>
        <v>West</v>
      </c>
      <c r="J23" t="str">
        <f t="shared" si="1"/>
        <v>WEST</v>
      </c>
    </row>
    <row r="24" spans="1:10" x14ac:dyDescent="0.3">
      <c r="A24" s="4">
        <v>1022</v>
      </c>
      <c r="B24" s="4" t="s">
        <v>49</v>
      </c>
      <c r="C24" s="4" t="s">
        <v>9</v>
      </c>
      <c r="D24" s="4">
        <v>2</v>
      </c>
      <c r="E24" s="4">
        <v>15000</v>
      </c>
      <c r="F24" s="4">
        <v>16400</v>
      </c>
      <c r="G24" s="4" t="s">
        <v>10</v>
      </c>
      <c r="H24" s="4" t="s">
        <v>50</v>
      </c>
      <c r="I24" t="str">
        <f t="shared" si="0"/>
        <v>North</v>
      </c>
      <c r="J24" t="str">
        <f t="shared" si="1"/>
        <v>NORTH</v>
      </c>
    </row>
    <row r="25" spans="1:10" x14ac:dyDescent="0.3">
      <c r="A25" s="2">
        <v>1023</v>
      </c>
      <c r="B25" s="2" t="s">
        <v>51</v>
      </c>
      <c r="C25" s="2" t="s">
        <v>26</v>
      </c>
      <c r="D25" s="2">
        <v>1</v>
      </c>
      <c r="E25" s="2">
        <v>2500</v>
      </c>
      <c r="F25" s="2">
        <v>2500</v>
      </c>
      <c r="G25" s="2" t="s">
        <v>16</v>
      </c>
      <c r="H25" s="2" t="s">
        <v>52</v>
      </c>
      <c r="I25" t="str">
        <f t="shared" si="0"/>
        <v>East</v>
      </c>
      <c r="J25" t="str">
        <f t="shared" si="1"/>
        <v>EAST</v>
      </c>
    </row>
    <row r="26" spans="1:10" x14ac:dyDescent="0.3">
      <c r="A26" s="4">
        <v>1024</v>
      </c>
      <c r="B26" s="4" t="s">
        <v>32</v>
      </c>
      <c r="C26" s="4" t="s">
        <v>12</v>
      </c>
      <c r="D26" s="4">
        <v>3</v>
      </c>
      <c r="E26" s="4">
        <v>12619</v>
      </c>
      <c r="F26" s="4">
        <v>16400</v>
      </c>
      <c r="G26" s="4" t="s">
        <v>13</v>
      </c>
      <c r="H26" s="4" t="s">
        <v>53</v>
      </c>
      <c r="I26" t="str">
        <f t="shared" si="0"/>
        <v>South</v>
      </c>
      <c r="J26" t="str">
        <f t="shared" si="1"/>
        <v>SOUTH</v>
      </c>
    </row>
    <row r="27" spans="1:10" x14ac:dyDescent="0.3">
      <c r="A27" s="2">
        <v>1025</v>
      </c>
      <c r="B27" s="2" t="s">
        <v>54</v>
      </c>
      <c r="C27" s="2" t="s">
        <v>9</v>
      </c>
      <c r="D27" s="2">
        <v>1</v>
      </c>
      <c r="E27" s="2">
        <v>40000</v>
      </c>
      <c r="F27" s="2">
        <v>40000</v>
      </c>
      <c r="G27" s="2" t="s">
        <v>18</v>
      </c>
      <c r="H27" s="2" t="s">
        <v>55</v>
      </c>
      <c r="I27" t="str">
        <f t="shared" si="0"/>
        <v>West</v>
      </c>
      <c r="J27" t="str">
        <f t="shared" si="1"/>
        <v>WEST</v>
      </c>
    </row>
    <row r="28" spans="1:10" x14ac:dyDescent="0.3">
      <c r="A28" s="4">
        <v>1026</v>
      </c>
      <c r="B28" s="4" t="s">
        <v>56</v>
      </c>
      <c r="C28" s="4" t="s">
        <v>15</v>
      </c>
      <c r="D28" s="4">
        <v>5</v>
      </c>
      <c r="E28" s="4">
        <v>200</v>
      </c>
      <c r="F28" s="4">
        <v>1000</v>
      </c>
      <c r="G28" s="4" t="s">
        <v>10</v>
      </c>
      <c r="H28" s="4" t="s">
        <v>57</v>
      </c>
      <c r="I28" t="str">
        <f t="shared" si="0"/>
        <v>North</v>
      </c>
      <c r="J28" t="str">
        <f t="shared" si="1"/>
        <v>NORTH</v>
      </c>
    </row>
    <row r="29" spans="1:10" x14ac:dyDescent="0.3">
      <c r="A29" s="2">
        <v>1027</v>
      </c>
      <c r="B29" s="2" t="s">
        <v>58</v>
      </c>
      <c r="C29" s="2" t="s">
        <v>39</v>
      </c>
      <c r="D29" s="2">
        <v>1</v>
      </c>
      <c r="E29" s="2">
        <v>55000</v>
      </c>
      <c r="F29" s="2">
        <v>55000</v>
      </c>
      <c r="G29" s="2" t="s">
        <v>16</v>
      </c>
      <c r="H29" s="2" t="s">
        <v>59</v>
      </c>
      <c r="I29" t="str">
        <f t="shared" si="0"/>
        <v>East</v>
      </c>
      <c r="J29" t="str">
        <f t="shared" si="1"/>
        <v>EAST</v>
      </c>
    </row>
    <row r="30" spans="1:10" x14ac:dyDescent="0.3">
      <c r="A30" s="4">
        <v>1028</v>
      </c>
      <c r="B30" s="4" t="s">
        <v>23</v>
      </c>
      <c r="C30" s="4" t="s">
        <v>12</v>
      </c>
      <c r="D30" s="4">
        <v>2</v>
      </c>
      <c r="E30" s="4">
        <v>50000</v>
      </c>
      <c r="F30" s="4">
        <v>16400</v>
      </c>
      <c r="G30" s="4" t="s">
        <v>13</v>
      </c>
      <c r="H30" s="4" t="s">
        <v>60</v>
      </c>
      <c r="I30" t="str">
        <f t="shared" si="0"/>
        <v>South</v>
      </c>
      <c r="J30" t="str">
        <f t="shared" si="1"/>
        <v>SOUTH</v>
      </c>
    </row>
    <row r="31" spans="1:10" x14ac:dyDescent="0.3">
      <c r="A31" s="2">
        <v>1029</v>
      </c>
      <c r="B31" s="2" t="s">
        <v>61</v>
      </c>
      <c r="C31" s="2" t="s">
        <v>26</v>
      </c>
      <c r="D31" s="2">
        <v>2</v>
      </c>
      <c r="E31" s="2">
        <v>12000</v>
      </c>
      <c r="F31" s="2">
        <v>24000</v>
      </c>
      <c r="G31" s="2" t="s">
        <v>18</v>
      </c>
      <c r="H31" s="2" t="s">
        <v>62</v>
      </c>
      <c r="I31" t="str">
        <f t="shared" si="0"/>
        <v>West</v>
      </c>
      <c r="J31" t="str">
        <f t="shared" si="1"/>
        <v>WEST</v>
      </c>
    </row>
    <row r="32" spans="1:10" x14ac:dyDescent="0.3">
      <c r="A32" s="4">
        <v>1030</v>
      </c>
      <c r="B32" s="4" t="s">
        <v>63</v>
      </c>
      <c r="C32" s="4" t="s">
        <v>9</v>
      </c>
      <c r="D32" s="4">
        <v>1</v>
      </c>
      <c r="E32" s="4">
        <v>70000</v>
      </c>
      <c r="F32" s="4">
        <v>70000</v>
      </c>
      <c r="G32" s="4" t="s">
        <v>10</v>
      </c>
      <c r="H32" s="4" t="s">
        <v>64</v>
      </c>
      <c r="I32" t="str">
        <f t="shared" si="0"/>
        <v>North</v>
      </c>
      <c r="J32" t="str">
        <f t="shared" si="1"/>
        <v>NORTH</v>
      </c>
    </row>
  </sheetData>
  <dataConsolidate/>
  <mergeCells count="1">
    <mergeCell ref="A1:J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2"/>
  <sheetViews>
    <sheetView workbookViewId="0">
      <selection activeCell="O6" sqref="O6"/>
    </sheetView>
  </sheetViews>
  <sheetFormatPr defaultRowHeight="14.4" x14ac:dyDescent="0.3"/>
  <cols>
    <col min="1" max="1" width="9" bestFit="1" customWidth="1"/>
    <col min="2" max="2" width="20.88671875" bestFit="1" customWidth="1"/>
    <col min="3" max="3" width="12.109375" bestFit="1" customWidth="1"/>
    <col min="5" max="5" width="14.44140625" bestFit="1" customWidth="1"/>
    <col min="6" max="6" width="13.6640625" bestFit="1" customWidth="1"/>
    <col min="7" max="7" width="16.88671875" bestFit="1" customWidth="1"/>
    <col min="8" max="8" width="11.33203125" bestFit="1" customWidth="1"/>
    <col min="12" max="12" width="19.44140625" customWidth="1"/>
    <col min="13" max="13" width="20.44140625" bestFit="1" customWidth="1"/>
  </cols>
  <sheetData>
    <row r="1" spans="1:13" ht="63.6" customHeight="1" x14ac:dyDescent="0.3">
      <c r="A1" s="17" t="s">
        <v>79</v>
      </c>
      <c r="B1" s="17"/>
      <c r="C1" s="17"/>
      <c r="D1" s="17"/>
      <c r="E1" s="17"/>
      <c r="F1" s="17"/>
      <c r="G1" s="17"/>
      <c r="H1" s="17"/>
    </row>
    <row r="2" spans="1:13" ht="37.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13" x14ac:dyDescent="0.3">
      <c r="A3" s="2">
        <v>1001</v>
      </c>
      <c r="B3" s="2" t="s">
        <v>8</v>
      </c>
      <c r="C3" s="2" t="s">
        <v>9</v>
      </c>
      <c r="D3" s="2">
        <v>3</v>
      </c>
      <c r="E3" s="2">
        <v>500</v>
      </c>
      <c r="F3" s="2">
        <v>1500</v>
      </c>
      <c r="G3" s="2" t="s">
        <v>10</v>
      </c>
      <c r="H3" s="3">
        <v>45660</v>
      </c>
    </row>
    <row r="4" spans="1:13" x14ac:dyDescent="0.3">
      <c r="A4" s="4">
        <v>1002</v>
      </c>
      <c r="B4" s="4" t="s">
        <v>11</v>
      </c>
      <c r="C4" s="4" t="s">
        <v>12</v>
      </c>
      <c r="D4" s="4">
        <v>2</v>
      </c>
      <c r="E4" s="4">
        <v>800</v>
      </c>
      <c r="F4" s="4">
        <v>16400</v>
      </c>
      <c r="G4" s="4" t="s">
        <v>13</v>
      </c>
      <c r="H4" s="5">
        <v>45691</v>
      </c>
    </row>
    <row r="5" spans="1:13" x14ac:dyDescent="0.3">
      <c r="A5" s="2">
        <v>1003</v>
      </c>
      <c r="B5" s="2" t="s">
        <v>14</v>
      </c>
      <c r="C5" s="2" t="s">
        <v>15</v>
      </c>
      <c r="D5" s="2">
        <v>1</v>
      </c>
      <c r="E5" s="2">
        <v>3500</v>
      </c>
      <c r="F5" s="2">
        <v>3500</v>
      </c>
      <c r="G5" s="2" t="s">
        <v>16</v>
      </c>
      <c r="H5" s="3">
        <v>45719</v>
      </c>
    </row>
    <row r="6" spans="1:13" x14ac:dyDescent="0.3">
      <c r="A6" s="4">
        <v>1004</v>
      </c>
      <c r="B6" s="4" t="s">
        <v>17</v>
      </c>
      <c r="C6" s="4" t="s">
        <v>9</v>
      </c>
      <c r="D6" s="4">
        <v>4</v>
      </c>
      <c r="E6" s="4">
        <v>12619</v>
      </c>
      <c r="F6" s="4">
        <v>16400</v>
      </c>
      <c r="G6" s="4" t="s">
        <v>18</v>
      </c>
      <c r="H6" s="5">
        <v>45750</v>
      </c>
    </row>
    <row r="7" spans="1:13" x14ac:dyDescent="0.3">
      <c r="A7" s="2">
        <v>1005</v>
      </c>
      <c r="B7" s="2" t="s">
        <v>19</v>
      </c>
      <c r="C7" s="2" t="s">
        <v>20</v>
      </c>
      <c r="D7" s="2">
        <v>2</v>
      </c>
      <c r="E7" s="2">
        <v>2500</v>
      </c>
      <c r="F7" s="2">
        <v>5000</v>
      </c>
      <c r="G7" s="2" t="s">
        <v>10</v>
      </c>
      <c r="H7" s="3">
        <v>45780</v>
      </c>
    </row>
    <row r="8" spans="1:13" x14ac:dyDescent="0.3">
      <c r="A8" s="4">
        <v>1006</v>
      </c>
      <c r="B8" s="4" t="s">
        <v>21</v>
      </c>
      <c r="C8" s="4" t="s">
        <v>9</v>
      </c>
      <c r="D8" s="4">
        <v>2</v>
      </c>
      <c r="E8" s="4">
        <v>7000</v>
      </c>
      <c r="F8" s="4">
        <v>14000</v>
      </c>
      <c r="G8" s="4" t="s">
        <v>22</v>
      </c>
      <c r="H8" s="5">
        <v>45811</v>
      </c>
    </row>
    <row r="9" spans="1:13" x14ac:dyDescent="0.3">
      <c r="A9" s="2">
        <v>1007</v>
      </c>
      <c r="B9" s="2" t="s">
        <v>23</v>
      </c>
      <c r="C9" s="2" t="s">
        <v>12</v>
      </c>
      <c r="D9" s="2">
        <v>1</v>
      </c>
      <c r="E9" s="2">
        <v>12619</v>
      </c>
      <c r="F9" s="2">
        <v>16400</v>
      </c>
      <c r="G9" s="2" t="s">
        <v>13</v>
      </c>
      <c r="H9" s="3">
        <v>45841</v>
      </c>
    </row>
    <row r="10" spans="1:13" x14ac:dyDescent="0.3">
      <c r="A10" s="4">
        <v>1008</v>
      </c>
      <c r="B10" s="4" t="s">
        <v>24</v>
      </c>
      <c r="C10" s="4" t="s">
        <v>15</v>
      </c>
      <c r="D10" s="4">
        <v>3</v>
      </c>
      <c r="E10" s="4">
        <v>4500</v>
      </c>
      <c r="F10" s="4">
        <v>13500</v>
      </c>
      <c r="G10" s="4" t="s">
        <v>16</v>
      </c>
      <c r="H10" s="5">
        <v>45872</v>
      </c>
    </row>
    <row r="11" spans="1:13" x14ac:dyDescent="0.3">
      <c r="A11" s="2">
        <v>1009</v>
      </c>
      <c r="B11" s="2" t="s">
        <v>25</v>
      </c>
      <c r="C11" s="2" t="s">
        <v>26</v>
      </c>
      <c r="D11" s="2">
        <v>2</v>
      </c>
      <c r="E11" s="2">
        <v>6000</v>
      </c>
      <c r="F11" s="2">
        <v>16400</v>
      </c>
      <c r="G11" s="2" t="s">
        <v>10</v>
      </c>
      <c r="H11" s="3">
        <v>45903</v>
      </c>
    </row>
    <row r="12" spans="1:13" x14ac:dyDescent="0.3">
      <c r="A12" s="4">
        <v>1010</v>
      </c>
      <c r="B12" s="4" t="s">
        <v>27</v>
      </c>
      <c r="C12" s="4" t="s">
        <v>12</v>
      </c>
      <c r="D12" s="4">
        <v>2</v>
      </c>
      <c r="E12" s="4">
        <v>1500</v>
      </c>
      <c r="F12" s="4">
        <v>3000</v>
      </c>
      <c r="G12" s="4" t="s">
        <v>18</v>
      </c>
      <c r="H12" s="5">
        <v>45933</v>
      </c>
    </row>
    <row r="13" spans="1:13" x14ac:dyDescent="0.3">
      <c r="A13" s="2">
        <v>1011</v>
      </c>
      <c r="B13" s="2" t="s">
        <v>28</v>
      </c>
      <c r="C13" s="2" t="s">
        <v>9</v>
      </c>
      <c r="D13" s="2">
        <v>5</v>
      </c>
      <c r="E13" s="2">
        <v>12619</v>
      </c>
      <c r="F13" s="2">
        <v>16400</v>
      </c>
      <c r="G13" s="2" t="s">
        <v>16</v>
      </c>
      <c r="H13" s="3">
        <v>45964</v>
      </c>
      <c r="L13" s="7" t="s">
        <v>80</v>
      </c>
      <c r="M13" t="s">
        <v>67</v>
      </c>
    </row>
    <row r="14" spans="1:13" x14ac:dyDescent="0.3">
      <c r="A14" s="4">
        <v>1012</v>
      </c>
      <c r="B14" s="4" t="s">
        <v>29</v>
      </c>
      <c r="C14" s="4" t="s">
        <v>15</v>
      </c>
      <c r="D14" s="4">
        <v>1</v>
      </c>
      <c r="E14" s="4">
        <v>2200</v>
      </c>
      <c r="F14" s="4">
        <v>2200</v>
      </c>
      <c r="G14" s="4" t="s">
        <v>13</v>
      </c>
      <c r="H14" s="5">
        <v>45994</v>
      </c>
      <c r="L14" s="8" t="s">
        <v>16</v>
      </c>
      <c r="M14">
        <v>116300</v>
      </c>
    </row>
    <row r="15" spans="1:13" x14ac:dyDescent="0.3">
      <c r="A15" s="2">
        <v>1013</v>
      </c>
      <c r="B15" s="2" t="s">
        <v>30</v>
      </c>
      <c r="C15" s="2" t="s">
        <v>26</v>
      </c>
      <c r="D15" s="2">
        <v>2</v>
      </c>
      <c r="E15" s="2">
        <v>12000</v>
      </c>
      <c r="F15" s="2">
        <v>24000</v>
      </c>
      <c r="G15" s="2" t="s">
        <v>18</v>
      </c>
      <c r="H15" s="2" t="s">
        <v>31</v>
      </c>
      <c r="L15" s="8" t="s">
        <v>10</v>
      </c>
      <c r="M15">
        <v>137700</v>
      </c>
    </row>
    <row r="16" spans="1:13" x14ac:dyDescent="0.3">
      <c r="A16" s="4">
        <v>1014</v>
      </c>
      <c r="B16" s="4" t="s">
        <v>32</v>
      </c>
      <c r="C16" s="4" t="s">
        <v>12</v>
      </c>
      <c r="D16" s="4">
        <v>2</v>
      </c>
      <c r="E16" s="4">
        <v>900</v>
      </c>
      <c r="F16" s="4">
        <v>16400</v>
      </c>
      <c r="G16" s="4" t="s">
        <v>10</v>
      </c>
      <c r="H16" s="4" t="s">
        <v>33</v>
      </c>
      <c r="L16" s="8" t="s">
        <v>22</v>
      </c>
      <c r="M16">
        <v>14000</v>
      </c>
    </row>
    <row r="17" spans="1:13" x14ac:dyDescent="0.3">
      <c r="A17" s="2">
        <v>1015</v>
      </c>
      <c r="B17" s="2" t="s">
        <v>34</v>
      </c>
      <c r="C17" s="2" t="s">
        <v>26</v>
      </c>
      <c r="D17" s="2">
        <v>3</v>
      </c>
      <c r="E17" s="2">
        <v>1800</v>
      </c>
      <c r="F17" s="2">
        <v>5400</v>
      </c>
      <c r="G17" s="2" t="s">
        <v>16</v>
      </c>
      <c r="H17" s="2" t="s">
        <v>35</v>
      </c>
      <c r="L17" s="8" t="s">
        <v>13</v>
      </c>
      <c r="M17">
        <v>100600</v>
      </c>
    </row>
    <row r="18" spans="1:13" x14ac:dyDescent="0.3">
      <c r="A18" s="4">
        <v>1016</v>
      </c>
      <c r="B18" s="4" t="s">
        <v>36</v>
      </c>
      <c r="C18" s="4" t="s">
        <v>15</v>
      </c>
      <c r="D18" s="4">
        <v>2</v>
      </c>
      <c r="E18" s="4">
        <v>1500</v>
      </c>
      <c r="F18" s="4">
        <v>16400</v>
      </c>
      <c r="G18" s="4" t="s">
        <v>13</v>
      </c>
      <c r="H18" s="4" t="s">
        <v>37</v>
      </c>
      <c r="L18" s="8" t="s">
        <v>18</v>
      </c>
      <c r="M18">
        <v>123400</v>
      </c>
    </row>
    <row r="19" spans="1:13" x14ac:dyDescent="0.3">
      <c r="A19" s="2">
        <v>1017</v>
      </c>
      <c r="B19" s="2" t="s">
        <v>38</v>
      </c>
      <c r="C19" s="2" t="s">
        <v>39</v>
      </c>
      <c r="D19" s="2">
        <v>1</v>
      </c>
      <c r="E19" s="2">
        <v>8000</v>
      </c>
      <c r="F19" s="2">
        <v>8000</v>
      </c>
      <c r="G19" s="2" t="s">
        <v>18</v>
      </c>
      <c r="H19" s="2" t="s">
        <v>40</v>
      </c>
      <c r="L19" s="8" t="s">
        <v>68</v>
      </c>
      <c r="M19">
        <v>492000</v>
      </c>
    </row>
    <row r="20" spans="1:13" x14ac:dyDescent="0.3">
      <c r="A20" s="4">
        <v>1018</v>
      </c>
      <c r="B20" s="4" t="s">
        <v>41</v>
      </c>
      <c r="C20" s="4" t="s">
        <v>12</v>
      </c>
      <c r="D20" s="4">
        <v>2</v>
      </c>
      <c r="E20" s="4">
        <v>5500</v>
      </c>
      <c r="F20" s="4">
        <v>11000</v>
      </c>
      <c r="G20" s="4" t="s">
        <v>10</v>
      </c>
      <c r="H20" s="4" t="s">
        <v>42</v>
      </c>
    </row>
    <row r="21" spans="1:13" x14ac:dyDescent="0.3">
      <c r="A21" s="2">
        <v>1019</v>
      </c>
      <c r="B21" s="2" t="s">
        <v>43</v>
      </c>
      <c r="C21" s="2" t="s">
        <v>9</v>
      </c>
      <c r="D21" s="2">
        <v>1</v>
      </c>
      <c r="E21" s="2">
        <v>20000</v>
      </c>
      <c r="F21" s="2">
        <v>20000</v>
      </c>
      <c r="G21" s="2" t="s">
        <v>16</v>
      </c>
      <c r="H21" s="2" t="s">
        <v>44</v>
      </c>
    </row>
    <row r="22" spans="1:13" x14ac:dyDescent="0.3">
      <c r="A22" s="4">
        <v>1020</v>
      </c>
      <c r="B22" s="4" t="s">
        <v>45</v>
      </c>
      <c r="C22" s="4" t="s">
        <v>12</v>
      </c>
      <c r="D22" s="4">
        <v>2</v>
      </c>
      <c r="E22" s="4">
        <v>1200</v>
      </c>
      <c r="F22" s="4">
        <v>16400</v>
      </c>
      <c r="G22" s="4" t="s">
        <v>13</v>
      </c>
      <c r="H22" s="4" t="s">
        <v>46</v>
      </c>
    </row>
    <row r="23" spans="1:13" x14ac:dyDescent="0.3">
      <c r="A23" s="2">
        <v>1021</v>
      </c>
      <c r="B23" s="2" t="s">
        <v>47</v>
      </c>
      <c r="C23" s="2" t="s">
        <v>15</v>
      </c>
      <c r="D23" s="2">
        <v>2</v>
      </c>
      <c r="E23" s="2">
        <v>4000</v>
      </c>
      <c r="F23" s="2">
        <v>8000</v>
      </c>
      <c r="G23" s="2" t="s">
        <v>18</v>
      </c>
      <c r="H23" s="2" t="s">
        <v>48</v>
      </c>
    </row>
    <row r="24" spans="1:13" x14ac:dyDescent="0.3">
      <c r="A24" s="4">
        <v>1022</v>
      </c>
      <c r="B24" s="4" t="s">
        <v>49</v>
      </c>
      <c r="C24" s="4" t="s">
        <v>9</v>
      </c>
      <c r="D24" s="4">
        <v>2</v>
      </c>
      <c r="E24" s="4">
        <v>15000</v>
      </c>
      <c r="F24" s="4">
        <v>16400</v>
      </c>
      <c r="G24" s="4" t="s">
        <v>10</v>
      </c>
      <c r="H24" s="4" t="s">
        <v>50</v>
      </c>
    </row>
    <row r="25" spans="1:13" x14ac:dyDescent="0.3">
      <c r="A25" s="2">
        <v>1023</v>
      </c>
      <c r="B25" s="2" t="s">
        <v>51</v>
      </c>
      <c r="C25" s="2" t="s">
        <v>26</v>
      </c>
      <c r="D25" s="2">
        <v>1</v>
      </c>
      <c r="E25" s="2">
        <v>2500</v>
      </c>
      <c r="F25" s="2">
        <v>2500</v>
      </c>
      <c r="G25" s="2" t="s">
        <v>16</v>
      </c>
      <c r="H25" s="2" t="s">
        <v>52</v>
      </c>
    </row>
    <row r="26" spans="1:13" x14ac:dyDescent="0.3">
      <c r="A26" s="4">
        <v>1024</v>
      </c>
      <c r="B26" s="4" t="s">
        <v>32</v>
      </c>
      <c r="C26" s="4" t="s">
        <v>12</v>
      </c>
      <c r="D26" s="4">
        <v>3</v>
      </c>
      <c r="E26" s="4">
        <v>12619</v>
      </c>
      <c r="F26" s="4">
        <v>16400</v>
      </c>
      <c r="G26" s="4" t="s">
        <v>13</v>
      </c>
      <c r="H26" s="4" t="s">
        <v>53</v>
      </c>
    </row>
    <row r="27" spans="1:13" x14ac:dyDescent="0.3">
      <c r="A27" s="2">
        <v>1025</v>
      </c>
      <c r="B27" s="2" t="s">
        <v>54</v>
      </c>
      <c r="C27" s="2" t="s">
        <v>9</v>
      </c>
      <c r="D27" s="2">
        <v>1</v>
      </c>
      <c r="E27" s="2">
        <v>40000</v>
      </c>
      <c r="F27" s="2">
        <v>40000</v>
      </c>
      <c r="G27" s="2" t="s">
        <v>18</v>
      </c>
      <c r="H27" s="2" t="s">
        <v>55</v>
      </c>
    </row>
    <row r="28" spans="1:13" x14ac:dyDescent="0.3">
      <c r="A28" s="4">
        <v>1026</v>
      </c>
      <c r="B28" s="4" t="s">
        <v>56</v>
      </c>
      <c r="C28" s="4" t="s">
        <v>15</v>
      </c>
      <c r="D28" s="4">
        <v>5</v>
      </c>
      <c r="E28" s="4">
        <v>200</v>
      </c>
      <c r="F28" s="4">
        <v>1000</v>
      </c>
      <c r="G28" s="4" t="s">
        <v>10</v>
      </c>
      <c r="H28" s="4" t="s">
        <v>57</v>
      </c>
    </row>
    <row r="29" spans="1:13" x14ac:dyDescent="0.3">
      <c r="A29" s="2">
        <v>1027</v>
      </c>
      <c r="B29" s="2" t="s">
        <v>58</v>
      </c>
      <c r="C29" s="2" t="s">
        <v>39</v>
      </c>
      <c r="D29" s="2">
        <v>1</v>
      </c>
      <c r="E29" s="2">
        <v>55000</v>
      </c>
      <c r="F29" s="2">
        <v>55000</v>
      </c>
      <c r="G29" s="2" t="s">
        <v>16</v>
      </c>
      <c r="H29" s="2" t="s">
        <v>59</v>
      </c>
    </row>
    <row r="30" spans="1:13" x14ac:dyDescent="0.3">
      <c r="A30" s="4">
        <v>1028</v>
      </c>
      <c r="B30" s="4" t="s">
        <v>23</v>
      </c>
      <c r="C30" s="4" t="s">
        <v>12</v>
      </c>
      <c r="D30" s="4">
        <v>2</v>
      </c>
      <c r="E30" s="4">
        <v>50000</v>
      </c>
      <c r="F30" s="4">
        <v>16400</v>
      </c>
      <c r="G30" s="4" t="s">
        <v>13</v>
      </c>
      <c r="H30" s="4" t="s">
        <v>60</v>
      </c>
    </row>
    <row r="31" spans="1:13" x14ac:dyDescent="0.3">
      <c r="A31" s="2">
        <v>1029</v>
      </c>
      <c r="B31" s="2" t="s">
        <v>61</v>
      </c>
      <c r="C31" s="2" t="s">
        <v>26</v>
      </c>
      <c r="D31" s="2">
        <v>2</v>
      </c>
      <c r="E31" s="2">
        <v>12000</v>
      </c>
      <c r="F31" s="2">
        <v>24000</v>
      </c>
      <c r="G31" s="2" t="s">
        <v>18</v>
      </c>
      <c r="H31" s="2" t="s">
        <v>62</v>
      </c>
    </row>
    <row r="32" spans="1:13" x14ac:dyDescent="0.3">
      <c r="A32" s="4">
        <v>1030</v>
      </c>
      <c r="B32" s="4" t="s">
        <v>63</v>
      </c>
      <c r="C32" s="4" t="s">
        <v>9</v>
      </c>
      <c r="D32" s="4">
        <v>1</v>
      </c>
      <c r="E32" s="4">
        <v>70000</v>
      </c>
      <c r="F32" s="4">
        <v>70000</v>
      </c>
      <c r="G32" s="4" t="s">
        <v>10</v>
      </c>
      <c r="H32" s="4" t="s">
        <v>64</v>
      </c>
    </row>
  </sheetData>
  <mergeCells count="1">
    <mergeCell ref="A1:H1"/>
  </mergeCells>
  <conditionalFormatting sqref="A2:H32">
    <cfRule type="top10" priority="2" rank="10"/>
  </conditionalFormatting>
  <conditionalFormatting sqref="F2:G1048576">
    <cfRule type="top10" priority="3" rank="10"/>
    <cfRule type="top10" priority="4" rank="10"/>
    <cfRule type="top10" priority="5" rank="1"/>
  </conditionalFormatting>
  <conditionalFormatting sqref="G2:G1048576">
    <cfRule type="dataBar" priority="6">
      <dataBar>
        <cfvo type="min"/>
        <cfvo type="max"/>
        <color rgb="FFD6007B"/>
      </dataBar>
    </cfRule>
  </conditionalFormatting>
  <conditionalFormatting sqref="L13:M19">
    <cfRule type="dataBar" priority="1">
      <dataBar>
        <cfvo type="min"/>
        <cfvo type="max"/>
        <color rgb="FFD6007B"/>
      </dataBar>
    </cfRule>
  </conditionalFormatting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2"/>
  <sheetViews>
    <sheetView workbookViewId="0">
      <selection activeCell="P14" sqref="P14"/>
    </sheetView>
  </sheetViews>
  <sheetFormatPr defaultRowHeight="14.4" x14ac:dyDescent="0.3"/>
  <cols>
    <col min="2" max="2" width="20.88671875" bestFit="1" customWidth="1"/>
    <col min="3" max="3" width="12.109375" bestFit="1" customWidth="1"/>
    <col min="5" max="5" width="14.44140625" bestFit="1" customWidth="1"/>
    <col min="6" max="6" width="13.6640625" bestFit="1" customWidth="1"/>
    <col min="7" max="7" width="16.88671875" bestFit="1" customWidth="1"/>
    <col min="8" max="8" width="11.33203125" bestFit="1" customWidth="1"/>
    <col min="11" max="11" width="14.88671875" customWidth="1"/>
  </cols>
  <sheetData>
    <row r="1" spans="1:14" ht="23.4" customHeight="1" x14ac:dyDescent="0.3">
      <c r="A1" s="22" t="s">
        <v>83</v>
      </c>
      <c r="B1" s="22"/>
      <c r="C1" s="22"/>
      <c r="D1" s="22"/>
      <c r="E1" s="22"/>
      <c r="F1" s="22"/>
      <c r="G1" s="22"/>
      <c r="H1" s="22"/>
    </row>
    <row r="2" spans="1:14" ht="28.5" customHeight="1" x14ac:dyDescent="0.3">
      <c r="A2" s="14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4" t="s">
        <v>6</v>
      </c>
      <c r="H2" s="14" t="s">
        <v>7</v>
      </c>
    </row>
    <row r="3" spans="1:14" x14ac:dyDescent="0.3">
      <c r="A3" s="2">
        <v>1001</v>
      </c>
      <c r="B3" s="2" t="s">
        <v>8</v>
      </c>
      <c r="C3" s="2" t="s">
        <v>9</v>
      </c>
      <c r="D3" s="2">
        <v>3</v>
      </c>
      <c r="E3" s="2">
        <v>500</v>
      </c>
      <c r="F3" s="2">
        <v>1500</v>
      </c>
      <c r="G3" s="2" t="s">
        <v>10</v>
      </c>
      <c r="H3" s="3">
        <v>45660</v>
      </c>
      <c r="K3" s="18" t="s">
        <v>69</v>
      </c>
      <c r="L3" s="18"/>
      <c r="M3" s="18"/>
    </row>
    <row r="4" spans="1:14" x14ac:dyDescent="0.3">
      <c r="A4" s="4">
        <v>1002</v>
      </c>
      <c r="B4" s="4" t="s">
        <v>11</v>
      </c>
      <c r="C4" s="4" t="s">
        <v>12</v>
      </c>
      <c r="D4" s="4">
        <v>2</v>
      </c>
      <c r="E4" s="4">
        <v>800</v>
      </c>
      <c r="F4" s="4">
        <v>16400</v>
      </c>
      <c r="G4" s="4" t="s">
        <v>13</v>
      </c>
      <c r="H4" s="5">
        <v>45691</v>
      </c>
      <c r="K4" s="9" t="s">
        <v>70</v>
      </c>
      <c r="L4" s="9">
        <v>1015</v>
      </c>
    </row>
    <row r="5" spans="1:14" x14ac:dyDescent="0.3">
      <c r="A5" s="2">
        <v>1003</v>
      </c>
      <c r="B5" s="2" t="s">
        <v>14</v>
      </c>
      <c r="C5" s="2" t="s">
        <v>15</v>
      </c>
      <c r="D5" s="2">
        <v>1</v>
      </c>
      <c r="E5" s="2">
        <v>3500</v>
      </c>
      <c r="F5" s="2">
        <v>3500</v>
      </c>
      <c r="G5" s="2" t="s">
        <v>16</v>
      </c>
      <c r="H5" s="3">
        <v>45719</v>
      </c>
    </row>
    <row r="6" spans="1:14" x14ac:dyDescent="0.3">
      <c r="A6" s="4">
        <v>1004</v>
      </c>
      <c r="B6" s="4" t="s">
        <v>17</v>
      </c>
      <c r="C6" s="4" t="s">
        <v>9</v>
      </c>
      <c r="D6" s="4">
        <v>4</v>
      </c>
      <c r="E6" s="4">
        <v>12619</v>
      </c>
      <c r="F6" s="4">
        <v>16400</v>
      </c>
      <c r="G6" s="4" t="s">
        <v>18</v>
      </c>
      <c r="H6" s="5">
        <v>45750</v>
      </c>
      <c r="K6" t="s">
        <v>71</v>
      </c>
      <c r="L6">
        <f>VLOOKUP(L4,A3:H32,6,TRUE)</f>
        <v>5400</v>
      </c>
    </row>
    <row r="7" spans="1:14" x14ac:dyDescent="0.3">
      <c r="A7" s="2">
        <v>1005</v>
      </c>
      <c r="B7" s="2" t="s">
        <v>19</v>
      </c>
      <c r="C7" s="2" t="s">
        <v>20</v>
      </c>
      <c r="D7" s="2">
        <v>2</v>
      </c>
      <c r="E7" s="2">
        <v>2500</v>
      </c>
      <c r="F7" s="2">
        <v>5000</v>
      </c>
      <c r="G7" s="2" t="s">
        <v>10</v>
      </c>
      <c r="H7" s="3">
        <v>45780</v>
      </c>
    </row>
    <row r="8" spans="1:14" x14ac:dyDescent="0.3">
      <c r="A8" s="4">
        <v>1006</v>
      </c>
      <c r="B8" s="4" t="s">
        <v>21</v>
      </c>
      <c r="C8" s="4" t="s">
        <v>9</v>
      </c>
      <c r="D8" s="4">
        <v>2</v>
      </c>
      <c r="E8" s="4">
        <v>7000</v>
      </c>
      <c r="F8" s="4">
        <v>14000</v>
      </c>
      <c r="G8" s="4" t="s">
        <v>22</v>
      </c>
      <c r="H8" s="5">
        <v>45811</v>
      </c>
    </row>
    <row r="9" spans="1:14" x14ac:dyDescent="0.3">
      <c r="A9" s="2">
        <v>1007</v>
      </c>
      <c r="B9" s="2" t="s">
        <v>23</v>
      </c>
      <c r="C9" s="2" t="s">
        <v>12</v>
      </c>
      <c r="D9" s="2">
        <v>1</v>
      </c>
      <c r="E9" s="2">
        <v>12619</v>
      </c>
      <c r="F9" s="2">
        <v>16400</v>
      </c>
      <c r="G9" s="2" t="s">
        <v>13</v>
      </c>
      <c r="H9" s="3">
        <v>45841</v>
      </c>
    </row>
    <row r="10" spans="1:14" x14ac:dyDescent="0.3">
      <c r="A10" s="4">
        <v>1008</v>
      </c>
      <c r="B10" s="4" t="s">
        <v>24</v>
      </c>
      <c r="C10" s="4" t="s">
        <v>15</v>
      </c>
      <c r="D10" s="4">
        <v>3</v>
      </c>
      <c r="E10" s="4">
        <v>4500</v>
      </c>
      <c r="F10" s="4">
        <v>13500</v>
      </c>
      <c r="G10" s="4" t="s">
        <v>16</v>
      </c>
      <c r="H10" s="5">
        <v>45872</v>
      </c>
    </row>
    <row r="11" spans="1:14" x14ac:dyDescent="0.3">
      <c r="A11" s="2">
        <v>1009</v>
      </c>
      <c r="B11" s="2" t="s">
        <v>25</v>
      </c>
      <c r="C11" s="2" t="s">
        <v>26</v>
      </c>
      <c r="D11" s="2">
        <v>2</v>
      </c>
      <c r="E11" s="2">
        <v>6000</v>
      </c>
      <c r="F11" s="2">
        <v>16400</v>
      </c>
      <c r="G11" s="2" t="s">
        <v>10</v>
      </c>
      <c r="H11" s="3">
        <v>45903</v>
      </c>
    </row>
    <row r="12" spans="1:14" ht="18" x14ac:dyDescent="0.35">
      <c r="A12" s="4">
        <v>1010</v>
      </c>
      <c r="B12" s="4" t="s">
        <v>27</v>
      </c>
      <c r="C12" s="4" t="s">
        <v>12</v>
      </c>
      <c r="D12" s="4">
        <v>2</v>
      </c>
      <c r="E12" s="4">
        <v>1500</v>
      </c>
      <c r="F12" s="4">
        <v>3000</v>
      </c>
      <c r="G12" s="4" t="s">
        <v>18</v>
      </c>
      <c r="H12" s="5">
        <v>45933</v>
      </c>
      <c r="K12" s="19" t="s">
        <v>72</v>
      </c>
      <c r="L12" s="19"/>
      <c r="M12" s="19"/>
    </row>
    <row r="13" spans="1:14" x14ac:dyDescent="0.3">
      <c r="A13" s="2">
        <v>1011</v>
      </c>
      <c r="B13" s="2" t="s">
        <v>28</v>
      </c>
      <c r="C13" s="2" t="s">
        <v>9</v>
      </c>
      <c r="D13" s="2">
        <v>5</v>
      </c>
      <c r="E13" s="2">
        <v>12619</v>
      </c>
      <c r="F13" s="2">
        <v>16400</v>
      </c>
      <c r="G13" s="2" t="s">
        <v>16</v>
      </c>
      <c r="H13" s="3">
        <v>45964</v>
      </c>
      <c r="K13" s="20" t="s">
        <v>73</v>
      </c>
      <c r="L13" s="21"/>
      <c r="M13" s="21"/>
      <c r="N13" s="21"/>
    </row>
    <row r="14" spans="1:14" x14ac:dyDescent="0.3">
      <c r="A14" s="4">
        <v>1012</v>
      </c>
      <c r="B14" s="4" t="s">
        <v>29</v>
      </c>
      <c r="C14" s="4" t="s">
        <v>15</v>
      </c>
      <c r="D14" s="4">
        <v>1</v>
      </c>
      <c r="E14" s="4">
        <v>2200</v>
      </c>
      <c r="F14" s="4">
        <v>2200</v>
      </c>
      <c r="G14" s="4" t="s">
        <v>13</v>
      </c>
      <c r="H14" s="5">
        <v>45994</v>
      </c>
    </row>
    <row r="15" spans="1:14" x14ac:dyDescent="0.3">
      <c r="A15" s="2">
        <v>1013</v>
      </c>
      <c r="B15" s="2" t="s">
        <v>30</v>
      </c>
      <c r="C15" s="2" t="s">
        <v>26</v>
      </c>
      <c r="D15" s="2">
        <v>2</v>
      </c>
      <c r="E15" s="2">
        <v>12000</v>
      </c>
      <c r="F15" s="2">
        <v>24000</v>
      </c>
      <c r="G15" s="2" t="s">
        <v>18</v>
      </c>
      <c r="H15" s="2" t="s">
        <v>31</v>
      </c>
      <c r="L15">
        <v>1027</v>
      </c>
      <c r="M15" t="e">
        <f>INDEX(C2:C32,MATCH(A2:H32,L15,0))</f>
        <v>#VALUE!</v>
      </c>
    </row>
    <row r="16" spans="1:14" x14ac:dyDescent="0.3">
      <c r="A16" s="4">
        <v>1014</v>
      </c>
      <c r="B16" s="4" t="s">
        <v>32</v>
      </c>
      <c r="C16" s="4" t="s">
        <v>12</v>
      </c>
      <c r="D16" s="4">
        <v>2</v>
      </c>
      <c r="E16" s="4">
        <v>900</v>
      </c>
      <c r="F16" s="4">
        <v>16400</v>
      </c>
      <c r="G16" s="4" t="s">
        <v>10</v>
      </c>
      <c r="H16" s="4" t="s">
        <v>33</v>
      </c>
    </row>
    <row r="17" spans="1:8" x14ac:dyDescent="0.3">
      <c r="A17" s="2">
        <v>1015</v>
      </c>
      <c r="B17" s="2" t="s">
        <v>34</v>
      </c>
      <c r="C17" s="2" t="s">
        <v>26</v>
      </c>
      <c r="D17" s="2">
        <v>3</v>
      </c>
      <c r="E17" s="2">
        <v>1800</v>
      </c>
      <c r="F17" s="2">
        <v>5400</v>
      </c>
      <c r="G17" s="2" t="s">
        <v>16</v>
      </c>
      <c r="H17" s="2" t="s">
        <v>35</v>
      </c>
    </row>
    <row r="18" spans="1:8" x14ac:dyDescent="0.3">
      <c r="A18" s="4">
        <v>1016</v>
      </c>
      <c r="B18" s="4" t="s">
        <v>36</v>
      </c>
      <c r="C18" s="4" t="s">
        <v>15</v>
      </c>
      <c r="D18" s="4">
        <v>2</v>
      </c>
      <c r="E18" s="4">
        <v>1500</v>
      </c>
      <c r="F18" s="4">
        <v>16400</v>
      </c>
      <c r="G18" s="4" t="s">
        <v>13</v>
      </c>
      <c r="H18" s="4" t="s">
        <v>37</v>
      </c>
    </row>
    <row r="19" spans="1:8" x14ac:dyDescent="0.3">
      <c r="A19" s="2">
        <v>1017</v>
      </c>
      <c r="B19" s="2" t="s">
        <v>38</v>
      </c>
      <c r="C19" s="2" t="s">
        <v>39</v>
      </c>
      <c r="D19" s="2">
        <v>1</v>
      </c>
      <c r="E19" s="2">
        <v>8000</v>
      </c>
      <c r="F19" s="2">
        <v>8000</v>
      </c>
      <c r="G19" s="2" t="s">
        <v>18</v>
      </c>
      <c r="H19" s="2" t="s">
        <v>40</v>
      </c>
    </row>
    <row r="20" spans="1:8" x14ac:dyDescent="0.3">
      <c r="A20" s="4">
        <v>1018</v>
      </c>
      <c r="B20" s="4" t="s">
        <v>41</v>
      </c>
      <c r="C20" s="4" t="s">
        <v>12</v>
      </c>
      <c r="D20" s="4">
        <v>2</v>
      </c>
      <c r="E20" s="4">
        <v>5500</v>
      </c>
      <c r="F20" s="4">
        <v>11000</v>
      </c>
      <c r="G20" s="4" t="s">
        <v>10</v>
      </c>
      <c r="H20" s="4" t="s">
        <v>42</v>
      </c>
    </row>
    <row r="21" spans="1:8" x14ac:dyDescent="0.3">
      <c r="A21" s="2">
        <v>1019</v>
      </c>
      <c r="B21" s="2" t="s">
        <v>43</v>
      </c>
      <c r="C21" s="2" t="s">
        <v>9</v>
      </c>
      <c r="D21" s="2">
        <v>1</v>
      </c>
      <c r="E21" s="2">
        <v>20000</v>
      </c>
      <c r="F21" s="2">
        <v>20000</v>
      </c>
      <c r="G21" s="2" t="s">
        <v>16</v>
      </c>
      <c r="H21" s="2" t="s">
        <v>44</v>
      </c>
    </row>
    <row r="22" spans="1:8" x14ac:dyDescent="0.3">
      <c r="A22" s="4">
        <v>1020</v>
      </c>
      <c r="B22" s="4" t="s">
        <v>45</v>
      </c>
      <c r="C22" s="4" t="s">
        <v>12</v>
      </c>
      <c r="D22" s="4">
        <v>2</v>
      </c>
      <c r="E22" s="4">
        <v>1200</v>
      </c>
      <c r="F22" s="4">
        <v>16400</v>
      </c>
      <c r="G22" s="4" t="s">
        <v>13</v>
      </c>
      <c r="H22" s="4" t="s">
        <v>46</v>
      </c>
    </row>
    <row r="23" spans="1:8" x14ac:dyDescent="0.3">
      <c r="A23" s="2">
        <v>1021</v>
      </c>
      <c r="B23" s="2" t="s">
        <v>47</v>
      </c>
      <c r="C23" s="2" t="s">
        <v>15</v>
      </c>
      <c r="D23" s="2">
        <v>2</v>
      </c>
      <c r="E23" s="2">
        <v>4000</v>
      </c>
      <c r="F23" s="2">
        <v>8000</v>
      </c>
      <c r="G23" s="2" t="s">
        <v>18</v>
      </c>
      <c r="H23" s="2" t="s">
        <v>48</v>
      </c>
    </row>
    <row r="24" spans="1:8" x14ac:dyDescent="0.3">
      <c r="A24" s="4">
        <v>1022</v>
      </c>
      <c r="B24" s="4" t="s">
        <v>49</v>
      </c>
      <c r="C24" s="4" t="s">
        <v>9</v>
      </c>
      <c r="D24" s="4">
        <v>2</v>
      </c>
      <c r="E24" s="4">
        <v>15000</v>
      </c>
      <c r="F24" s="4">
        <v>16400</v>
      </c>
      <c r="G24" s="4" t="s">
        <v>10</v>
      </c>
      <c r="H24" s="4" t="s">
        <v>50</v>
      </c>
    </row>
    <row r="25" spans="1:8" x14ac:dyDescent="0.3">
      <c r="A25" s="2">
        <v>1023</v>
      </c>
      <c r="B25" s="2" t="s">
        <v>51</v>
      </c>
      <c r="C25" s="2" t="s">
        <v>26</v>
      </c>
      <c r="D25" s="2">
        <v>1</v>
      </c>
      <c r="E25" s="2">
        <v>2500</v>
      </c>
      <c r="F25" s="2">
        <v>2500</v>
      </c>
      <c r="G25" s="2" t="s">
        <v>16</v>
      </c>
      <c r="H25" s="2" t="s">
        <v>52</v>
      </c>
    </row>
    <row r="26" spans="1:8" x14ac:dyDescent="0.3">
      <c r="A26" s="4">
        <v>1024</v>
      </c>
      <c r="B26" s="4" t="s">
        <v>32</v>
      </c>
      <c r="C26" s="4" t="s">
        <v>12</v>
      </c>
      <c r="D26" s="4">
        <v>3</v>
      </c>
      <c r="E26" s="4">
        <v>12619</v>
      </c>
      <c r="F26" s="4">
        <v>16400</v>
      </c>
      <c r="G26" s="4" t="s">
        <v>13</v>
      </c>
      <c r="H26" s="4" t="s">
        <v>53</v>
      </c>
    </row>
    <row r="27" spans="1:8" x14ac:dyDescent="0.3">
      <c r="A27" s="2">
        <v>1025</v>
      </c>
      <c r="B27" s="2" t="s">
        <v>54</v>
      </c>
      <c r="C27" s="2" t="s">
        <v>9</v>
      </c>
      <c r="D27" s="2">
        <v>1</v>
      </c>
      <c r="E27" s="2">
        <v>40000</v>
      </c>
      <c r="F27" s="2">
        <v>40000</v>
      </c>
      <c r="G27" s="2" t="s">
        <v>18</v>
      </c>
      <c r="H27" s="2" t="s">
        <v>55</v>
      </c>
    </row>
    <row r="28" spans="1:8" x14ac:dyDescent="0.3">
      <c r="A28" s="4">
        <v>1026</v>
      </c>
      <c r="B28" s="4" t="s">
        <v>56</v>
      </c>
      <c r="C28" s="4" t="s">
        <v>15</v>
      </c>
      <c r="D28" s="4">
        <v>5</v>
      </c>
      <c r="E28" s="4">
        <v>200</v>
      </c>
      <c r="F28" s="4">
        <v>1000</v>
      </c>
      <c r="G28" s="4" t="s">
        <v>10</v>
      </c>
      <c r="H28" s="4" t="s">
        <v>57</v>
      </c>
    </row>
    <row r="29" spans="1:8" x14ac:dyDescent="0.3">
      <c r="A29" s="2">
        <v>1027</v>
      </c>
      <c r="B29" s="2" t="s">
        <v>58</v>
      </c>
      <c r="C29" s="2" t="s">
        <v>39</v>
      </c>
      <c r="D29" s="2">
        <v>1</v>
      </c>
      <c r="E29" s="2">
        <v>55000</v>
      </c>
      <c r="F29" s="2">
        <v>55000</v>
      </c>
      <c r="G29" s="2" t="s">
        <v>16</v>
      </c>
      <c r="H29" s="2" t="s">
        <v>59</v>
      </c>
    </row>
    <row r="30" spans="1:8" x14ac:dyDescent="0.3">
      <c r="A30" s="4">
        <v>1028</v>
      </c>
      <c r="B30" s="4" t="s">
        <v>23</v>
      </c>
      <c r="C30" s="4" t="s">
        <v>12</v>
      </c>
      <c r="D30" s="4">
        <v>2</v>
      </c>
      <c r="E30" s="4">
        <v>50000</v>
      </c>
      <c r="F30" s="4">
        <v>16400</v>
      </c>
      <c r="G30" s="4" t="s">
        <v>13</v>
      </c>
      <c r="H30" s="4" t="s">
        <v>60</v>
      </c>
    </row>
    <row r="31" spans="1:8" x14ac:dyDescent="0.3">
      <c r="A31" s="2">
        <v>1029</v>
      </c>
      <c r="B31" s="2" t="s">
        <v>61</v>
      </c>
      <c r="C31" s="2" t="s">
        <v>26</v>
      </c>
      <c r="D31" s="2">
        <v>2</v>
      </c>
      <c r="E31" s="2">
        <v>12000</v>
      </c>
      <c r="F31" s="2">
        <v>24000</v>
      </c>
      <c r="G31" s="2" t="s">
        <v>18</v>
      </c>
      <c r="H31" s="2" t="s">
        <v>62</v>
      </c>
    </row>
    <row r="32" spans="1:8" x14ac:dyDescent="0.3">
      <c r="A32" s="4">
        <v>1030</v>
      </c>
      <c r="B32" s="4" t="s">
        <v>63</v>
      </c>
      <c r="C32" s="4" t="s">
        <v>9</v>
      </c>
      <c r="D32" s="4">
        <v>1</v>
      </c>
      <c r="E32" s="4">
        <v>70000</v>
      </c>
      <c r="F32" s="4">
        <v>70000</v>
      </c>
      <c r="G32" s="4" t="s">
        <v>10</v>
      </c>
      <c r="H32" s="4" t="s">
        <v>64</v>
      </c>
    </row>
  </sheetData>
  <mergeCells count="4">
    <mergeCell ref="K3:M3"/>
    <mergeCell ref="K12:M12"/>
    <mergeCell ref="K13:N13"/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2"/>
  <sheetViews>
    <sheetView workbookViewId="0">
      <selection activeCell="Q9" sqref="Q9"/>
    </sheetView>
  </sheetViews>
  <sheetFormatPr defaultRowHeight="14.4" x14ac:dyDescent="0.3"/>
  <cols>
    <col min="2" max="2" width="20.88671875" bestFit="1" customWidth="1"/>
    <col min="3" max="3" width="12.109375" bestFit="1" customWidth="1"/>
    <col min="4" max="4" width="8.6640625" bestFit="1" customWidth="1"/>
    <col min="5" max="5" width="14.44140625" bestFit="1" customWidth="1"/>
    <col min="6" max="6" width="13.6640625" bestFit="1" customWidth="1"/>
    <col min="7" max="7" width="16.88671875" bestFit="1" customWidth="1"/>
    <col min="8" max="8" width="14" customWidth="1"/>
  </cols>
  <sheetData>
    <row r="1" spans="1:8" ht="21" x14ac:dyDescent="0.4">
      <c r="A1" s="23" t="s">
        <v>82</v>
      </c>
      <c r="B1" s="23"/>
      <c r="C1" s="23"/>
      <c r="D1" s="23"/>
      <c r="E1" s="23"/>
      <c r="F1" s="23"/>
      <c r="G1" s="23"/>
      <c r="H1" s="23"/>
    </row>
    <row r="2" spans="1:8" s="12" customFormat="1" ht="32.25" customHeight="1" x14ac:dyDescent="0.3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</row>
    <row r="3" spans="1:8" x14ac:dyDescent="0.3">
      <c r="A3" s="2">
        <v>1001</v>
      </c>
      <c r="B3" s="2" t="s">
        <v>8</v>
      </c>
      <c r="C3" s="2" t="s">
        <v>9</v>
      </c>
      <c r="D3" s="2">
        <v>3</v>
      </c>
      <c r="E3" s="2">
        <v>500</v>
      </c>
      <c r="F3" s="2">
        <v>1500</v>
      </c>
      <c r="G3" s="2" t="s">
        <v>10</v>
      </c>
      <c r="H3" s="3">
        <v>45660</v>
      </c>
    </row>
    <row r="4" spans="1:8" x14ac:dyDescent="0.3">
      <c r="A4" s="4">
        <v>1002</v>
      </c>
      <c r="B4" s="4" t="s">
        <v>11</v>
      </c>
      <c r="C4" s="4" t="s">
        <v>12</v>
      </c>
      <c r="D4" s="4">
        <v>2</v>
      </c>
      <c r="E4" s="4">
        <v>800</v>
      </c>
      <c r="F4" s="4">
        <v>16400</v>
      </c>
      <c r="G4" s="4" t="s">
        <v>13</v>
      </c>
      <c r="H4" s="5">
        <v>45691</v>
      </c>
    </row>
    <row r="5" spans="1:8" x14ac:dyDescent="0.3">
      <c r="A5" s="2">
        <v>1003</v>
      </c>
      <c r="B5" s="2" t="s">
        <v>14</v>
      </c>
      <c r="C5" s="2" t="s">
        <v>15</v>
      </c>
      <c r="D5" s="2">
        <v>1</v>
      </c>
      <c r="E5" s="2">
        <v>3500</v>
      </c>
      <c r="F5" s="2">
        <v>3500</v>
      </c>
      <c r="G5" s="2" t="s">
        <v>16</v>
      </c>
      <c r="H5" s="3">
        <v>45719</v>
      </c>
    </row>
    <row r="6" spans="1:8" x14ac:dyDescent="0.3">
      <c r="A6" s="4">
        <v>1004</v>
      </c>
      <c r="B6" s="4" t="s">
        <v>17</v>
      </c>
      <c r="C6" s="4" t="s">
        <v>9</v>
      </c>
      <c r="D6" s="4">
        <v>4</v>
      </c>
      <c r="E6" s="4">
        <v>12619</v>
      </c>
      <c r="F6" s="4">
        <v>16400</v>
      </c>
      <c r="G6" s="4" t="s">
        <v>18</v>
      </c>
      <c r="H6" s="5">
        <v>45750</v>
      </c>
    </row>
    <row r="7" spans="1:8" x14ac:dyDescent="0.3">
      <c r="A7" s="2">
        <v>1005</v>
      </c>
      <c r="B7" s="2" t="s">
        <v>19</v>
      </c>
      <c r="C7" s="2" t="s">
        <v>20</v>
      </c>
      <c r="D7" s="2">
        <v>2</v>
      </c>
      <c r="E7" s="2">
        <v>2500</v>
      </c>
      <c r="F7" s="2">
        <v>5000</v>
      </c>
      <c r="G7" s="2" t="s">
        <v>10</v>
      </c>
      <c r="H7" s="3">
        <v>45780</v>
      </c>
    </row>
    <row r="8" spans="1:8" x14ac:dyDescent="0.3">
      <c r="A8" s="4">
        <v>1006</v>
      </c>
      <c r="B8" s="4" t="s">
        <v>21</v>
      </c>
      <c r="C8" s="4" t="s">
        <v>9</v>
      </c>
      <c r="D8" s="4">
        <v>2</v>
      </c>
      <c r="E8" s="4">
        <v>7000</v>
      </c>
      <c r="F8" s="4">
        <v>14000</v>
      </c>
      <c r="G8" s="4" t="s">
        <v>22</v>
      </c>
      <c r="H8" s="5">
        <v>45811</v>
      </c>
    </row>
    <row r="9" spans="1:8" x14ac:dyDescent="0.3">
      <c r="A9" s="2">
        <v>1007</v>
      </c>
      <c r="B9" s="2" t="s">
        <v>23</v>
      </c>
      <c r="C9" s="2" t="s">
        <v>12</v>
      </c>
      <c r="D9" s="2">
        <v>1</v>
      </c>
      <c r="E9" s="2">
        <v>12619</v>
      </c>
      <c r="F9" s="2">
        <v>16400</v>
      </c>
      <c r="G9" s="2" t="s">
        <v>13</v>
      </c>
      <c r="H9" s="3">
        <v>45841</v>
      </c>
    </row>
    <row r="10" spans="1:8" x14ac:dyDescent="0.3">
      <c r="A10" s="4">
        <v>1008</v>
      </c>
      <c r="B10" s="4" t="s">
        <v>24</v>
      </c>
      <c r="C10" s="4" t="s">
        <v>15</v>
      </c>
      <c r="D10" s="4">
        <v>3</v>
      </c>
      <c r="E10" s="4">
        <v>4500</v>
      </c>
      <c r="F10" s="4">
        <v>13500</v>
      </c>
      <c r="G10" s="4" t="s">
        <v>16</v>
      </c>
      <c r="H10" s="5">
        <v>45872</v>
      </c>
    </row>
    <row r="11" spans="1:8" x14ac:dyDescent="0.3">
      <c r="A11" s="2">
        <v>1009</v>
      </c>
      <c r="B11" s="2" t="s">
        <v>25</v>
      </c>
      <c r="C11" s="2" t="s">
        <v>26</v>
      </c>
      <c r="D11" s="2">
        <v>2</v>
      </c>
      <c r="E11" s="2">
        <v>6000</v>
      </c>
      <c r="F11" s="2">
        <v>16400</v>
      </c>
      <c r="G11" s="2" t="s">
        <v>10</v>
      </c>
      <c r="H11" s="3">
        <v>45903</v>
      </c>
    </row>
    <row r="12" spans="1:8" x14ac:dyDescent="0.3">
      <c r="A12" s="4">
        <v>1010</v>
      </c>
      <c r="B12" s="4" t="s">
        <v>27</v>
      </c>
      <c r="C12" s="4" t="s">
        <v>12</v>
      </c>
      <c r="D12" s="4">
        <v>2</v>
      </c>
      <c r="E12" s="4">
        <v>1500</v>
      </c>
      <c r="F12" s="4">
        <v>3000</v>
      </c>
      <c r="G12" s="4" t="s">
        <v>18</v>
      </c>
      <c r="H12" s="5">
        <v>45933</v>
      </c>
    </row>
    <row r="13" spans="1:8" x14ac:dyDescent="0.3">
      <c r="A13" s="2">
        <v>1011</v>
      </c>
      <c r="B13" s="2" t="s">
        <v>28</v>
      </c>
      <c r="C13" s="2" t="s">
        <v>9</v>
      </c>
      <c r="D13" s="2">
        <v>5</v>
      </c>
      <c r="E13" s="2">
        <v>12619</v>
      </c>
      <c r="F13" s="2">
        <v>16400</v>
      </c>
      <c r="G13" s="2" t="s">
        <v>16</v>
      </c>
      <c r="H13" s="3">
        <v>45964</v>
      </c>
    </row>
    <row r="14" spans="1:8" x14ac:dyDescent="0.3">
      <c r="A14" s="4">
        <v>1012</v>
      </c>
      <c r="B14" s="4" t="s">
        <v>29</v>
      </c>
      <c r="C14" s="4" t="s">
        <v>15</v>
      </c>
      <c r="D14" s="4">
        <v>1</v>
      </c>
      <c r="E14" s="4">
        <v>2200</v>
      </c>
      <c r="F14" s="4">
        <v>2200</v>
      </c>
      <c r="G14" s="4" t="s">
        <v>13</v>
      </c>
      <c r="H14" s="5">
        <v>45994</v>
      </c>
    </row>
    <row r="15" spans="1:8" x14ac:dyDescent="0.3">
      <c r="A15" s="2">
        <v>1013</v>
      </c>
      <c r="B15" s="2" t="s">
        <v>30</v>
      </c>
      <c r="C15" s="2" t="s">
        <v>26</v>
      </c>
      <c r="D15" s="2">
        <v>2</v>
      </c>
      <c r="E15" s="2">
        <v>12000</v>
      </c>
      <c r="F15" s="2">
        <v>24000</v>
      </c>
      <c r="G15" s="2" t="s">
        <v>18</v>
      </c>
      <c r="H15" s="2" t="s">
        <v>31</v>
      </c>
    </row>
    <row r="16" spans="1:8" x14ac:dyDescent="0.3">
      <c r="A16" s="4">
        <v>1014</v>
      </c>
      <c r="B16" s="4" t="s">
        <v>32</v>
      </c>
      <c r="C16" s="4" t="s">
        <v>12</v>
      </c>
      <c r="D16" s="4">
        <v>2</v>
      </c>
      <c r="E16" s="4">
        <v>900</v>
      </c>
      <c r="F16" s="4">
        <v>16400</v>
      </c>
      <c r="G16" s="4" t="s">
        <v>10</v>
      </c>
      <c r="H16" s="4" t="s">
        <v>33</v>
      </c>
    </row>
    <row r="17" spans="1:12" x14ac:dyDescent="0.3">
      <c r="A17" s="2">
        <v>1015</v>
      </c>
      <c r="B17" s="2" t="s">
        <v>34</v>
      </c>
      <c r="C17" s="2" t="s">
        <v>26</v>
      </c>
      <c r="D17" s="2">
        <v>3</v>
      </c>
      <c r="E17" s="2">
        <v>1800</v>
      </c>
      <c r="F17" s="2">
        <v>5400</v>
      </c>
      <c r="G17" s="2" t="s">
        <v>16</v>
      </c>
      <c r="H17" s="2" t="s">
        <v>35</v>
      </c>
    </row>
    <row r="18" spans="1:12" x14ac:dyDescent="0.3">
      <c r="A18" s="4">
        <v>1016</v>
      </c>
      <c r="B18" s="4" t="s">
        <v>36</v>
      </c>
      <c r="C18" s="4" t="s">
        <v>15</v>
      </c>
      <c r="D18" s="4">
        <v>2</v>
      </c>
      <c r="E18" s="4">
        <v>1500</v>
      </c>
      <c r="F18" s="4">
        <v>16400</v>
      </c>
      <c r="G18" s="4" t="s">
        <v>13</v>
      </c>
      <c r="H18" s="4" t="s">
        <v>37</v>
      </c>
    </row>
    <row r="19" spans="1:12" x14ac:dyDescent="0.3">
      <c r="A19" s="2">
        <v>1017</v>
      </c>
      <c r="B19" s="2" t="s">
        <v>38</v>
      </c>
      <c r="C19" s="2" t="s">
        <v>39</v>
      </c>
      <c r="D19" s="2">
        <v>1</v>
      </c>
      <c r="E19" s="2">
        <v>8000</v>
      </c>
      <c r="F19" s="2">
        <v>8000</v>
      </c>
      <c r="G19" s="2" t="s">
        <v>18</v>
      </c>
      <c r="H19" s="2" t="s">
        <v>40</v>
      </c>
    </row>
    <row r="20" spans="1:12" x14ac:dyDescent="0.3">
      <c r="A20" s="4">
        <v>1018</v>
      </c>
      <c r="B20" s="4" t="s">
        <v>41</v>
      </c>
      <c r="C20" s="4" t="s">
        <v>12</v>
      </c>
      <c r="D20" s="4">
        <v>2</v>
      </c>
      <c r="E20" s="4">
        <v>5500</v>
      </c>
      <c r="F20" s="4">
        <v>11000</v>
      </c>
      <c r="G20" s="4" t="s">
        <v>10</v>
      </c>
      <c r="H20" s="4" t="s">
        <v>42</v>
      </c>
    </row>
    <row r="21" spans="1:12" x14ac:dyDescent="0.3">
      <c r="A21" s="2">
        <v>1019</v>
      </c>
      <c r="B21" s="2" t="s">
        <v>43</v>
      </c>
      <c r="C21" s="2" t="s">
        <v>9</v>
      </c>
      <c r="D21" s="2">
        <v>1</v>
      </c>
      <c r="E21" s="2">
        <v>20000</v>
      </c>
      <c r="F21" s="2">
        <v>20000</v>
      </c>
      <c r="G21" s="2" t="s">
        <v>16</v>
      </c>
      <c r="H21" s="2" t="s">
        <v>44</v>
      </c>
    </row>
    <row r="22" spans="1:12" x14ac:dyDescent="0.3">
      <c r="A22" s="4">
        <v>1020</v>
      </c>
      <c r="B22" s="4" t="s">
        <v>45</v>
      </c>
      <c r="C22" s="4" t="s">
        <v>12</v>
      </c>
      <c r="D22" s="4">
        <v>2</v>
      </c>
      <c r="E22" s="4">
        <v>1200</v>
      </c>
      <c r="F22" s="4">
        <v>16400</v>
      </c>
      <c r="G22" s="4" t="s">
        <v>13</v>
      </c>
      <c r="H22" s="4" t="s">
        <v>46</v>
      </c>
    </row>
    <row r="23" spans="1:12" x14ac:dyDescent="0.3">
      <c r="A23" s="2">
        <v>1021</v>
      </c>
      <c r="B23" s="2" t="s">
        <v>47</v>
      </c>
      <c r="C23" s="2" t="s">
        <v>15</v>
      </c>
      <c r="D23" s="2">
        <v>2</v>
      </c>
      <c r="E23" s="2">
        <v>4000</v>
      </c>
      <c r="F23" s="2">
        <v>8000</v>
      </c>
      <c r="G23" s="2" t="s">
        <v>18</v>
      </c>
      <c r="H23" s="2" t="s">
        <v>48</v>
      </c>
    </row>
    <row r="24" spans="1:12" x14ac:dyDescent="0.3">
      <c r="A24" s="4">
        <v>1022</v>
      </c>
      <c r="B24" s="4" t="s">
        <v>49</v>
      </c>
      <c r="C24" s="4" t="s">
        <v>9</v>
      </c>
      <c r="D24" s="4">
        <v>2</v>
      </c>
      <c r="E24" s="4">
        <v>15000</v>
      </c>
      <c r="F24" s="4">
        <v>16400</v>
      </c>
      <c r="G24" s="4" t="s">
        <v>10</v>
      </c>
      <c r="H24" s="4" t="s">
        <v>50</v>
      </c>
    </row>
    <row r="25" spans="1:12" x14ac:dyDescent="0.3">
      <c r="A25" s="2">
        <v>1023</v>
      </c>
      <c r="B25" s="2" t="s">
        <v>51</v>
      </c>
      <c r="C25" s="2" t="s">
        <v>26</v>
      </c>
      <c r="D25" s="2">
        <v>1</v>
      </c>
      <c r="E25" s="2">
        <v>2500</v>
      </c>
      <c r="F25" s="2">
        <v>2500</v>
      </c>
      <c r="G25" s="2" t="s">
        <v>16</v>
      </c>
      <c r="H25" s="2" t="s">
        <v>52</v>
      </c>
    </row>
    <row r="26" spans="1:12" x14ac:dyDescent="0.3">
      <c r="A26" s="4">
        <v>1024</v>
      </c>
      <c r="B26" s="4" t="s">
        <v>32</v>
      </c>
      <c r="C26" s="4" t="s">
        <v>12</v>
      </c>
      <c r="D26" s="4">
        <v>3</v>
      </c>
      <c r="E26" s="4">
        <v>12619</v>
      </c>
      <c r="F26" s="4">
        <v>16400</v>
      </c>
      <c r="G26" s="4" t="s">
        <v>13</v>
      </c>
      <c r="H26" s="4" t="s">
        <v>53</v>
      </c>
    </row>
    <row r="27" spans="1:12" x14ac:dyDescent="0.3">
      <c r="A27" s="2">
        <v>1025</v>
      </c>
      <c r="B27" s="2" t="s">
        <v>54</v>
      </c>
      <c r="C27" s="2" t="s">
        <v>9</v>
      </c>
      <c r="D27" s="2">
        <v>1</v>
      </c>
      <c r="E27" s="2">
        <v>40000</v>
      </c>
      <c r="F27" s="2">
        <v>40000</v>
      </c>
      <c r="G27" s="2" t="s">
        <v>18</v>
      </c>
      <c r="H27" s="2" t="s">
        <v>55</v>
      </c>
      <c r="I27" s="13"/>
      <c r="J27" s="13" t="s">
        <v>74</v>
      </c>
      <c r="K27" s="13"/>
      <c r="L27" t="s">
        <v>75</v>
      </c>
    </row>
    <row r="28" spans="1:12" x14ac:dyDescent="0.3">
      <c r="A28" s="4">
        <v>1026</v>
      </c>
      <c r="B28" s="4" t="s">
        <v>56</v>
      </c>
      <c r="C28" s="4" t="s">
        <v>15</v>
      </c>
      <c r="D28" s="4">
        <v>5</v>
      </c>
      <c r="E28" s="4">
        <v>200</v>
      </c>
      <c r="F28" s="4">
        <v>1000</v>
      </c>
      <c r="G28" s="4" t="s">
        <v>10</v>
      </c>
      <c r="H28" s="4" t="s">
        <v>57</v>
      </c>
    </row>
    <row r="29" spans="1:12" x14ac:dyDescent="0.3">
      <c r="A29" s="2">
        <v>1027</v>
      </c>
      <c r="B29" s="2" t="s">
        <v>58</v>
      </c>
      <c r="C29" s="2" t="s">
        <v>39</v>
      </c>
      <c r="D29" s="2">
        <v>1</v>
      </c>
      <c r="E29" s="2">
        <v>55000</v>
      </c>
      <c r="F29" s="2">
        <v>55000</v>
      </c>
      <c r="G29" s="2" t="s">
        <v>16</v>
      </c>
      <c r="H29" s="2" t="s">
        <v>59</v>
      </c>
    </row>
    <row r="30" spans="1:12" x14ac:dyDescent="0.3">
      <c r="A30" s="4">
        <v>1028</v>
      </c>
      <c r="B30" s="4" t="s">
        <v>23</v>
      </c>
      <c r="C30" s="4" t="s">
        <v>12</v>
      </c>
      <c r="D30" s="4">
        <v>2</v>
      </c>
      <c r="E30" s="4">
        <v>50000</v>
      </c>
      <c r="F30" s="4">
        <v>16400</v>
      </c>
      <c r="G30" s="4" t="s">
        <v>13</v>
      </c>
      <c r="H30" s="4" t="s">
        <v>60</v>
      </c>
    </row>
    <row r="31" spans="1:12" x14ac:dyDescent="0.3">
      <c r="A31" s="2">
        <v>1029</v>
      </c>
      <c r="B31" s="2" t="s">
        <v>61</v>
      </c>
      <c r="C31" s="2" t="s">
        <v>26</v>
      </c>
      <c r="D31" s="2">
        <v>2</v>
      </c>
      <c r="E31" s="2">
        <v>12000</v>
      </c>
      <c r="F31" s="2">
        <v>24000</v>
      </c>
      <c r="G31" s="2" t="s">
        <v>18</v>
      </c>
      <c r="H31" s="2" t="s">
        <v>62</v>
      </c>
    </row>
    <row r="32" spans="1:12" x14ac:dyDescent="0.3">
      <c r="A32" s="4">
        <v>1030</v>
      </c>
      <c r="B32" s="4" t="s">
        <v>63</v>
      </c>
      <c r="C32" s="4" t="s">
        <v>9</v>
      </c>
      <c r="D32" s="4">
        <v>1</v>
      </c>
      <c r="E32" s="4">
        <v>70000</v>
      </c>
      <c r="F32" s="4">
        <v>70000</v>
      </c>
      <c r="G32" s="4" t="s">
        <v>10</v>
      </c>
      <c r="H32" s="4" t="s">
        <v>64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I104"/>
  <sheetViews>
    <sheetView workbookViewId="0">
      <selection activeCell="J10" sqref="J10"/>
    </sheetView>
  </sheetViews>
  <sheetFormatPr defaultRowHeight="14.4" x14ac:dyDescent="0.3"/>
  <cols>
    <col min="1" max="1" width="9" bestFit="1" customWidth="1"/>
    <col min="2" max="2" width="20.88671875" bestFit="1" customWidth="1"/>
    <col min="3" max="3" width="12.109375" bestFit="1" customWidth="1"/>
    <col min="5" max="5" width="14.44140625" bestFit="1" customWidth="1"/>
    <col min="6" max="6" width="13.6640625" bestFit="1" customWidth="1"/>
    <col min="7" max="7" width="16.88671875" bestFit="1" customWidth="1"/>
    <col min="8" max="8" width="11.33203125" bestFit="1" customWidth="1"/>
    <col min="9" max="9" width="20.109375" style="10" customWidth="1"/>
  </cols>
  <sheetData>
    <row r="1" spans="1:9" x14ac:dyDescent="0.3">
      <c r="A1" s="17" t="s">
        <v>81</v>
      </c>
      <c r="B1" s="17"/>
      <c r="C1" s="17"/>
      <c r="D1" s="17"/>
      <c r="E1" s="17"/>
      <c r="F1" s="17"/>
      <c r="G1" s="17"/>
      <c r="H1" s="17"/>
      <c r="I1" s="17"/>
    </row>
    <row r="2" spans="1:9" ht="45.7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76</v>
      </c>
    </row>
    <row r="3" spans="1:9" x14ac:dyDescent="0.3">
      <c r="A3" s="2">
        <v>1001</v>
      </c>
      <c r="B3" s="2" t="s">
        <v>8</v>
      </c>
      <c r="C3" s="2" t="s">
        <v>9</v>
      </c>
      <c r="D3" s="2">
        <v>3</v>
      </c>
      <c r="E3" s="2">
        <v>500</v>
      </c>
      <c r="F3" s="2">
        <v>1500</v>
      </c>
      <c r="G3" s="2" t="s">
        <v>10</v>
      </c>
      <c r="H3" s="3">
        <v>45660</v>
      </c>
      <c r="I3" s="10">
        <f>F3-(D3*E3*0.6)</f>
        <v>600</v>
      </c>
    </row>
    <row r="4" spans="1:9" x14ac:dyDescent="0.3">
      <c r="A4" s="4">
        <v>1002</v>
      </c>
      <c r="B4" s="4" t="s">
        <v>11</v>
      </c>
      <c r="C4" s="4" t="s">
        <v>12</v>
      </c>
      <c r="D4" s="4">
        <v>2</v>
      </c>
      <c r="E4" s="4">
        <v>800</v>
      </c>
      <c r="F4" s="4">
        <v>16400</v>
      </c>
      <c r="G4" s="4" t="s">
        <v>13</v>
      </c>
      <c r="H4" s="5">
        <v>45691</v>
      </c>
      <c r="I4" s="10">
        <f t="shared" ref="I4:I32" si="0">F4-(D4*E4*0.6)</f>
        <v>15440</v>
      </c>
    </row>
    <row r="5" spans="1:9" x14ac:dyDescent="0.3">
      <c r="A5" s="2">
        <v>1003</v>
      </c>
      <c r="B5" s="2" t="s">
        <v>14</v>
      </c>
      <c r="C5" s="2" t="s">
        <v>15</v>
      </c>
      <c r="D5" s="2">
        <v>1</v>
      </c>
      <c r="E5" s="2">
        <v>3500</v>
      </c>
      <c r="F5" s="2">
        <v>3500</v>
      </c>
      <c r="G5" s="2" t="s">
        <v>16</v>
      </c>
      <c r="H5" s="3">
        <v>45719</v>
      </c>
      <c r="I5" s="10">
        <f t="shared" si="0"/>
        <v>1400</v>
      </c>
    </row>
    <row r="6" spans="1:9" x14ac:dyDescent="0.3">
      <c r="A6" s="4">
        <v>1004</v>
      </c>
      <c r="B6" s="4" t="s">
        <v>17</v>
      </c>
      <c r="C6" s="4" t="s">
        <v>9</v>
      </c>
      <c r="D6" s="4">
        <v>4</v>
      </c>
      <c r="E6" s="4">
        <v>12619</v>
      </c>
      <c r="F6" s="4">
        <v>16400</v>
      </c>
      <c r="G6" s="4" t="s">
        <v>18</v>
      </c>
      <c r="H6" s="5">
        <v>45750</v>
      </c>
      <c r="I6" s="10">
        <f t="shared" si="0"/>
        <v>-13885.599999999999</v>
      </c>
    </row>
    <row r="7" spans="1:9" x14ac:dyDescent="0.3">
      <c r="A7" s="2">
        <v>1005</v>
      </c>
      <c r="B7" s="2" t="s">
        <v>19</v>
      </c>
      <c r="C7" s="2" t="s">
        <v>20</v>
      </c>
      <c r="D7" s="2">
        <v>2</v>
      </c>
      <c r="E7" s="2">
        <v>2500</v>
      </c>
      <c r="F7" s="2">
        <v>5000</v>
      </c>
      <c r="G7" s="2" t="s">
        <v>10</v>
      </c>
      <c r="H7" s="3">
        <v>45780</v>
      </c>
      <c r="I7" s="10">
        <f t="shared" si="0"/>
        <v>2000</v>
      </c>
    </row>
    <row r="8" spans="1:9" x14ac:dyDescent="0.3">
      <c r="A8" s="4">
        <v>1006</v>
      </c>
      <c r="B8" s="4" t="s">
        <v>21</v>
      </c>
      <c r="C8" s="4" t="s">
        <v>9</v>
      </c>
      <c r="D8" s="4">
        <v>2</v>
      </c>
      <c r="E8" s="4">
        <v>7000</v>
      </c>
      <c r="F8" s="4">
        <v>14000</v>
      </c>
      <c r="G8" s="4" t="s">
        <v>22</v>
      </c>
      <c r="H8" s="5">
        <v>45811</v>
      </c>
      <c r="I8" s="10">
        <f t="shared" si="0"/>
        <v>5600</v>
      </c>
    </row>
    <row r="9" spans="1:9" x14ac:dyDescent="0.3">
      <c r="A9" s="2">
        <v>1007</v>
      </c>
      <c r="B9" s="2" t="s">
        <v>23</v>
      </c>
      <c r="C9" s="2" t="s">
        <v>12</v>
      </c>
      <c r="D9" s="2">
        <v>1</v>
      </c>
      <c r="E9" s="2">
        <v>12619</v>
      </c>
      <c r="F9" s="2">
        <v>16400</v>
      </c>
      <c r="G9" s="2" t="s">
        <v>13</v>
      </c>
      <c r="H9" s="3">
        <v>45841</v>
      </c>
      <c r="I9" s="10">
        <f t="shared" si="0"/>
        <v>8828.6</v>
      </c>
    </row>
    <row r="10" spans="1:9" x14ac:dyDescent="0.3">
      <c r="A10" s="4">
        <v>1008</v>
      </c>
      <c r="B10" s="4" t="s">
        <v>24</v>
      </c>
      <c r="C10" s="4" t="s">
        <v>15</v>
      </c>
      <c r="D10" s="4">
        <v>3</v>
      </c>
      <c r="E10" s="4">
        <v>4500</v>
      </c>
      <c r="F10" s="4">
        <v>13500</v>
      </c>
      <c r="G10" s="4" t="s">
        <v>16</v>
      </c>
      <c r="H10" s="5">
        <v>45872</v>
      </c>
      <c r="I10" s="10">
        <f t="shared" si="0"/>
        <v>5400</v>
      </c>
    </row>
    <row r="11" spans="1:9" x14ac:dyDescent="0.3">
      <c r="A11" s="2">
        <v>1009</v>
      </c>
      <c r="B11" s="2" t="s">
        <v>25</v>
      </c>
      <c r="C11" s="2" t="s">
        <v>26</v>
      </c>
      <c r="D11" s="2">
        <v>2</v>
      </c>
      <c r="E11" s="2">
        <v>6000</v>
      </c>
      <c r="F11" s="2">
        <v>16400</v>
      </c>
      <c r="G11" s="2" t="s">
        <v>10</v>
      </c>
      <c r="H11" s="3">
        <v>45903</v>
      </c>
      <c r="I11" s="10">
        <f t="shared" si="0"/>
        <v>9200</v>
      </c>
    </row>
    <row r="12" spans="1:9" x14ac:dyDescent="0.3">
      <c r="A12" s="4">
        <v>1010</v>
      </c>
      <c r="B12" s="4" t="s">
        <v>27</v>
      </c>
      <c r="C12" s="4" t="s">
        <v>12</v>
      </c>
      <c r="D12" s="4">
        <v>2</v>
      </c>
      <c r="E12" s="4">
        <v>1500</v>
      </c>
      <c r="F12" s="4">
        <v>3000</v>
      </c>
      <c r="G12" s="4" t="s">
        <v>18</v>
      </c>
      <c r="H12" s="5">
        <v>45933</v>
      </c>
      <c r="I12" s="10">
        <f t="shared" si="0"/>
        <v>1200</v>
      </c>
    </row>
    <row r="13" spans="1:9" x14ac:dyDescent="0.3">
      <c r="A13" s="2">
        <v>1011</v>
      </c>
      <c r="B13" s="2" t="s">
        <v>28</v>
      </c>
      <c r="C13" s="2" t="s">
        <v>9</v>
      </c>
      <c r="D13" s="2">
        <v>5</v>
      </c>
      <c r="E13" s="2">
        <v>12619</v>
      </c>
      <c r="F13" s="2">
        <v>16400</v>
      </c>
      <c r="G13" s="2" t="s">
        <v>16</v>
      </c>
      <c r="H13" s="3">
        <v>45964</v>
      </c>
      <c r="I13" s="10">
        <f t="shared" si="0"/>
        <v>-21457</v>
      </c>
    </row>
    <row r="14" spans="1:9" x14ac:dyDescent="0.3">
      <c r="A14" s="4">
        <v>1012</v>
      </c>
      <c r="B14" s="4" t="s">
        <v>29</v>
      </c>
      <c r="C14" s="4" t="s">
        <v>15</v>
      </c>
      <c r="D14" s="4">
        <v>1</v>
      </c>
      <c r="E14" s="4">
        <v>2200</v>
      </c>
      <c r="F14" s="4">
        <v>2200</v>
      </c>
      <c r="G14" s="4" t="s">
        <v>13</v>
      </c>
      <c r="H14" s="5">
        <v>45994</v>
      </c>
      <c r="I14" s="10">
        <f t="shared" si="0"/>
        <v>880</v>
      </c>
    </row>
    <row r="15" spans="1:9" x14ac:dyDescent="0.3">
      <c r="A15" s="2">
        <v>1013</v>
      </c>
      <c r="B15" s="2" t="s">
        <v>30</v>
      </c>
      <c r="C15" s="2" t="s">
        <v>26</v>
      </c>
      <c r="D15" s="2">
        <v>2</v>
      </c>
      <c r="E15" s="2">
        <v>12000</v>
      </c>
      <c r="F15" s="2">
        <v>24000</v>
      </c>
      <c r="G15" s="2" t="s">
        <v>18</v>
      </c>
      <c r="H15" s="2" t="s">
        <v>31</v>
      </c>
      <c r="I15" s="10">
        <f t="shared" si="0"/>
        <v>9600</v>
      </c>
    </row>
    <row r="16" spans="1:9" x14ac:dyDescent="0.3">
      <c r="A16" s="4">
        <v>1014</v>
      </c>
      <c r="B16" s="4" t="s">
        <v>32</v>
      </c>
      <c r="C16" s="4" t="s">
        <v>12</v>
      </c>
      <c r="D16" s="4">
        <v>2</v>
      </c>
      <c r="E16" s="4">
        <v>900</v>
      </c>
      <c r="F16" s="4">
        <v>16400</v>
      </c>
      <c r="G16" s="4" t="s">
        <v>10</v>
      </c>
      <c r="H16" s="4" t="s">
        <v>33</v>
      </c>
      <c r="I16" s="10">
        <f t="shared" si="0"/>
        <v>15320</v>
      </c>
    </row>
    <row r="17" spans="1:9" x14ac:dyDescent="0.3">
      <c r="A17" s="2">
        <v>1015</v>
      </c>
      <c r="B17" s="2" t="s">
        <v>34</v>
      </c>
      <c r="C17" s="2" t="s">
        <v>26</v>
      </c>
      <c r="D17" s="2">
        <v>3</v>
      </c>
      <c r="E17" s="2">
        <v>1800</v>
      </c>
      <c r="F17" s="2">
        <v>5400</v>
      </c>
      <c r="G17" s="2" t="s">
        <v>16</v>
      </c>
      <c r="H17" s="2" t="s">
        <v>35</v>
      </c>
      <c r="I17" s="10">
        <f t="shared" si="0"/>
        <v>2160</v>
      </c>
    </row>
    <row r="18" spans="1:9" x14ac:dyDescent="0.3">
      <c r="A18" s="4">
        <v>1016</v>
      </c>
      <c r="B18" s="4" t="s">
        <v>36</v>
      </c>
      <c r="C18" s="4" t="s">
        <v>15</v>
      </c>
      <c r="D18" s="4">
        <v>2</v>
      </c>
      <c r="E18" s="4">
        <v>1500</v>
      </c>
      <c r="F18" s="4">
        <v>16400</v>
      </c>
      <c r="G18" s="4" t="s">
        <v>13</v>
      </c>
      <c r="H18" s="4" t="s">
        <v>37</v>
      </c>
      <c r="I18" s="10">
        <f t="shared" si="0"/>
        <v>14600</v>
      </c>
    </row>
    <row r="19" spans="1:9" x14ac:dyDescent="0.3">
      <c r="A19" s="2">
        <v>1017</v>
      </c>
      <c r="B19" s="2" t="s">
        <v>38</v>
      </c>
      <c r="C19" s="2" t="s">
        <v>39</v>
      </c>
      <c r="D19" s="2">
        <v>1</v>
      </c>
      <c r="E19" s="2">
        <v>8000</v>
      </c>
      <c r="F19" s="2">
        <v>8000</v>
      </c>
      <c r="G19" s="2" t="s">
        <v>18</v>
      </c>
      <c r="H19" s="2" t="s">
        <v>40</v>
      </c>
      <c r="I19" s="10">
        <f t="shared" si="0"/>
        <v>3200</v>
      </c>
    </row>
    <row r="20" spans="1:9" x14ac:dyDescent="0.3">
      <c r="A20" s="4">
        <v>1018</v>
      </c>
      <c r="B20" s="4" t="s">
        <v>41</v>
      </c>
      <c r="C20" s="4" t="s">
        <v>12</v>
      </c>
      <c r="D20" s="4">
        <v>2</v>
      </c>
      <c r="E20" s="4">
        <v>5500</v>
      </c>
      <c r="F20" s="4">
        <v>11000</v>
      </c>
      <c r="G20" s="4" t="s">
        <v>10</v>
      </c>
      <c r="H20" s="4" t="s">
        <v>42</v>
      </c>
      <c r="I20" s="10">
        <f t="shared" si="0"/>
        <v>4400</v>
      </c>
    </row>
    <row r="21" spans="1:9" x14ac:dyDescent="0.3">
      <c r="A21" s="2">
        <v>1019</v>
      </c>
      <c r="B21" s="2" t="s">
        <v>43</v>
      </c>
      <c r="C21" s="2" t="s">
        <v>9</v>
      </c>
      <c r="D21" s="2">
        <v>1</v>
      </c>
      <c r="E21" s="2">
        <v>20000</v>
      </c>
      <c r="F21" s="2">
        <v>20000</v>
      </c>
      <c r="G21" s="2" t="s">
        <v>16</v>
      </c>
      <c r="H21" s="2" t="s">
        <v>44</v>
      </c>
      <c r="I21" s="10">
        <f t="shared" si="0"/>
        <v>8000</v>
      </c>
    </row>
    <row r="22" spans="1:9" x14ac:dyDescent="0.3">
      <c r="A22" s="4">
        <v>1020</v>
      </c>
      <c r="B22" s="4" t="s">
        <v>45</v>
      </c>
      <c r="C22" s="4" t="s">
        <v>12</v>
      </c>
      <c r="D22" s="4">
        <v>2</v>
      </c>
      <c r="E22" s="4">
        <v>1200</v>
      </c>
      <c r="F22" s="4">
        <v>16400</v>
      </c>
      <c r="G22" s="4" t="s">
        <v>13</v>
      </c>
      <c r="H22" s="4" t="s">
        <v>46</v>
      </c>
      <c r="I22" s="10">
        <f t="shared" si="0"/>
        <v>14960</v>
      </c>
    </row>
    <row r="23" spans="1:9" x14ac:dyDescent="0.3">
      <c r="A23" s="2">
        <v>1021</v>
      </c>
      <c r="B23" s="2" t="s">
        <v>47</v>
      </c>
      <c r="C23" s="2" t="s">
        <v>15</v>
      </c>
      <c r="D23" s="2">
        <v>2</v>
      </c>
      <c r="E23" s="2">
        <v>4000</v>
      </c>
      <c r="F23" s="2">
        <v>8000</v>
      </c>
      <c r="G23" s="2" t="s">
        <v>18</v>
      </c>
      <c r="H23" s="2" t="s">
        <v>48</v>
      </c>
      <c r="I23" s="10">
        <f t="shared" si="0"/>
        <v>3200</v>
      </c>
    </row>
    <row r="24" spans="1:9" x14ac:dyDescent="0.3">
      <c r="A24" s="4">
        <v>1022</v>
      </c>
      <c r="B24" s="4" t="s">
        <v>49</v>
      </c>
      <c r="C24" s="4" t="s">
        <v>9</v>
      </c>
      <c r="D24" s="4">
        <v>2</v>
      </c>
      <c r="E24" s="4">
        <v>15000</v>
      </c>
      <c r="F24" s="4">
        <v>16400</v>
      </c>
      <c r="G24" s="4" t="s">
        <v>10</v>
      </c>
      <c r="H24" s="4" t="s">
        <v>50</v>
      </c>
      <c r="I24" s="10">
        <f t="shared" si="0"/>
        <v>-1600</v>
      </c>
    </row>
    <row r="25" spans="1:9" x14ac:dyDescent="0.3">
      <c r="A25" s="2">
        <v>1023</v>
      </c>
      <c r="B25" s="2" t="s">
        <v>51</v>
      </c>
      <c r="C25" s="2" t="s">
        <v>26</v>
      </c>
      <c r="D25" s="2">
        <v>1</v>
      </c>
      <c r="E25" s="2">
        <v>2500</v>
      </c>
      <c r="F25" s="2">
        <v>2500</v>
      </c>
      <c r="G25" s="2" t="s">
        <v>16</v>
      </c>
      <c r="H25" s="2" t="s">
        <v>52</v>
      </c>
      <c r="I25" s="10">
        <f t="shared" si="0"/>
        <v>1000</v>
      </c>
    </row>
    <row r="26" spans="1:9" x14ac:dyDescent="0.3">
      <c r="A26" s="4">
        <v>1024</v>
      </c>
      <c r="B26" s="4" t="s">
        <v>32</v>
      </c>
      <c r="C26" s="4" t="s">
        <v>12</v>
      </c>
      <c r="D26" s="4">
        <v>3</v>
      </c>
      <c r="E26" s="4">
        <v>12619</v>
      </c>
      <c r="F26" s="4">
        <v>16400</v>
      </c>
      <c r="G26" s="4" t="s">
        <v>13</v>
      </c>
      <c r="H26" s="4" t="s">
        <v>53</v>
      </c>
      <c r="I26" s="10">
        <f t="shared" si="0"/>
        <v>-6314.2000000000007</v>
      </c>
    </row>
    <row r="27" spans="1:9" x14ac:dyDescent="0.3">
      <c r="A27" s="2">
        <v>1025</v>
      </c>
      <c r="B27" s="2" t="s">
        <v>54</v>
      </c>
      <c r="C27" s="2" t="s">
        <v>9</v>
      </c>
      <c r="D27" s="2">
        <v>1</v>
      </c>
      <c r="E27" s="2">
        <v>40000</v>
      </c>
      <c r="F27" s="2">
        <v>40000</v>
      </c>
      <c r="G27" s="2" t="s">
        <v>18</v>
      </c>
      <c r="H27" s="2" t="s">
        <v>55</v>
      </c>
      <c r="I27" s="10">
        <f t="shared" si="0"/>
        <v>16000</v>
      </c>
    </row>
    <row r="28" spans="1:9" x14ac:dyDescent="0.3">
      <c r="A28" s="4">
        <v>1026</v>
      </c>
      <c r="B28" s="4" t="s">
        <v>56</v>
      </c>
      <c r="C28" s="4" t="s">
        <v>15</v>
      </c>
      <c r="D28" s="4">
        <v>5</v>
      </c>
      <c r="E28" s="4">
        <v>200</v>
      </c>
      <c r="F28" s="4">
        <v>1000</v>
      </c>
      <c r="G28" s="4" t="s">
        <v>10</v>
      </c>
      <c r="H28" s="4" t="s">
        <v>57</v>
      </c>
      <c r="I28" s="10">
        <f t="shared" si="0"/>
        <v>400</v>
      </c>
    </row>
    <row r="29" spans="1:9" x14ac:dyDescent="0.3">
      <c r="A29" s="2">
        <v>1027</v>
      </c>
      <c r="B29" s="2" t="s">
        <v>58</v>
      </c>
      <c r="C29" s="2" t="s">
        <v>39</v>
      </c>
      <c r="D29" s="2">
        <v>1</v>
      </c>
      <c r="E29" s="2">
        <v>55000</v>
      </c>
      <c r="F29" s="2">
        <v>55000</v>
      </c>
      <c r="G29" s="2" t="s">
        <v>16</v>
      </c>
      <c r="H29" s="2" t="s">
        <v>59</v>
      </c>
      <c r="I29" s="10">
        <f t="shared" si="0"/>
        <v>22000</v>
      </c>
    </row>
    <row r="30" spans="1:9" x14ac:dyDescent="0.3">
      <c r="A30" s="4">
        <v>1028</v>
      </c>
      <c r="B30" s="4" t="s">
        <v>23</v>
      </c>
      <c r="C30" s="4" t="s">
        <v>12</v>
      </c>
      <c r="D30" s="4">
        <v>2</v>
      </c>
      <c r="E30" s="4">
        <v>50000</v>
      </c>
      <c r="F30" s="4">
        <v>16400</v>
      </c>
      <c r="G30" s="4" t="s">
        <v>13</v>
      </c>
      <c r="H30" s="4" t="s">
        <v>60</v>
      </c>
      <c r="I30" s="10">
        <f t="shared" si="0"/>
        <v>-43600</v>
      </c>
    </row>
    <row r="31" spans="1:9" x14ac:dyDescent="0.3">
      <c r="A31" s="2">
        <v>1029</v>
      </c>
      <c r="B31" s="2" t="s">
        <v>61</v>
      </c>
      <c r="C31" s="2" t="s">
        <v>26</v>
      </c>
      <c r="D31" s="2">
        <v>2</v>
      </c>
      <c r="E31" s="2">
        <v>12000</v>
      </c>
      <c r="F31" s="2">
        <v>24000</v>
      </c>
      <c r="G31" s="2" t="s">
        <v>18</v>
      </c>
      <c r="H31" s="2" t="s">
        <v>62</v>
      </c>
      <c r="I31" s="10">
        <f t="shared" si="0"/>
        <v>9600</v>
      </c>
    </row>
    <row r="32" spans="1:9" x14ac:dyDescent="0.3">
      <c r="A32" s="4">
        <v>1030</v>
      </c>
      <c r="B32" s="4" t="s">
        <v>63</v>
      </c>
      <c r="C32" s="4" t="s">
        <v>9</v>
      </c>
      <c r="D32" s="4">
        <v>1</v>
      </c>
      <c r="E32" s="4">
        <v>70000</v>
      </c>
      <c r="F32" s="4">
        <v>70000</v>
      </c>
      <c r="G32" s="4" t="s">
        <v>10</v>
      </c>
      <c r="H32" s="4" t="s">
        <v>64</v>
      </c>
      <c r="I32" s="10">
        <f t="shared" si="0"/>
        <v>28000</v>
      </c>
    </row>
    <row r="36" spans="1:9" ht="21" x14ac:dyDescent="0.4">
      <c r="A36" s="25" t="s">
        <v>77</v>
      </c>
      <c r="B36" s="25"/>
      <c r="C36" s="25"/>
      <c r="D36" s="25"/>
      <c r="E36" s="25"/>
      <c r="F36" s="25"/>
      <c r="G36" s="25"/>
    </row>
    <row r="38" spans="1:9" x14ac:dyDescent="0.3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F38" s="1" t="s">
        <v>5</v>
      </c>
      <c r="G38" s="1" t="s">
        <v>6</v>
      </c>
      <c r="H38" s="1" t="s">
        <v>7</v>
      </c>
      <c r="I38" s="1" t="s">
        <v>76</v>
      </c>
    </row>
    <row r="39" spans="1:9" x14ac:dyDescent="0.3">
      <c r="A39" s="4">
        <v>1030</v>
      </c>
      <c r="B39" s="4" t="s">
        <v>63</v>
      </c>
      <c r="C39" s="4" t="s">
        <v>9</v>
      </c>
      <c r="D39" s="4">
        <v>1</v>
      </c>
      <c r="E39" s="4">
        <v>70000</v>
      </c>
      <c r="F39" s="4">
        <v>70000</v>
      </c>
      <c r="G39" s="4" t="s">
        <v>10</v>
      </c>
      <c r="H39" s="4" t="s">
        <v>64</v>
      </c>
      <c r="I39" s="10">
        <f t="shared" ref="I39:I68" si="1">F39-(D39*E39*0.6)</f>
        <v>28000</v>
      </c>
    </row>
    <row r="40" spans="1:9" x14ac:dyDescent="0.3">
      <c r="A40" s="2">
        <v>1027</v>
      </c>
      <c r="B40" s="2" t="s">
        <v>58</v>
      </c>
      <c r="C40" s="2" t="s">
        <v>39</v>
      </c>
      <c r="D40" s="2">
        <v>1</v>
      </c>
      <c r="E40" s="2">
        <v>55000</v>
      </c>
      <c r="F40" s="2">
        <v>55000</v>
      </c>
      <c r="G40" s="2" t="s">
        <v>16</v>
      </c>
      <c r="H40" s="2" t="s">
        <v>59</v>
      </c>
      <c r="I40" s="10">
        <f t="shared" si="1"/>
        <v>22000</v>
      </c>
    </row>
    <row r="41" spans="1:9" x14ac:dyDescent="0.3">
      <c r="A41" s="2">
        <v>1025</v>
      </c>
      <c r="B41" s="2" t="s">
        <v>54</v>
      </c>
      <c r="C41" s="2" t="s">
        <v>9</v>
      </c>
      <c r="D41" s="2">
        <v>1</v>
      </c>
      <c r="E41" s="2">
        <v>40000</v>
      </c>
      <c r="F41" s="2">
        <v>40000</v>
      </c>
      <c r="G41" s="2" t="s">
        <v>18</v>
      </c>
      <c r="H41" s="2" t="s">
        <v>55</v>
      </c>
      <c r="I41" s="10">
        <f t="shared" si="1"/>
        <v>16000</v>
      </c>
    </row>
    <row r="42" spans="1:9" x14ac:dyDescent="0.3">
      <c r="A42" s="4">
        <v>1002</v>
      </c>
      <c r="B42" s="4" t="s">
        <v>11</v>
      </c>
      <c r="C42" s="4" t="s">
        <v>12</v>
      </c>
      <c r="D42" s="4">
        <v>2</v>
      </c>
      <c r="E42" s="4">
        <v>800</v>
      </c>
      <c r="F42" s="4">
        <v>16400</v>
      </c>
      <c r="G42" s="4" t="s">
        <v>13</v>
      </c>
      <c r="H42" s="5">
        <v>45691</v>
      </c>
      <c r="I42" s="10">
        <f t="shared" si="1"/>
        <v>15440</v>
      </c>
    </row>
    <row r="43" spans="1:9" x14ac:dyDescent="0.3">
      <c r="A43" s="4">
        <v>1014</v>
      </c>
      <c r="B43" s="4" t="s">
        <v>32</v>
      </c>
      <c r="C43" s="4" t="s">
        <v>12</v>
      </c>
      <c r="D43" s="4">
        <v>2</v>
      </c>
      <c r="E43" s="4">
        <v>900</v>
      </c>
      <c r="F43" s="4">
        <v>16400</v>
      </c>
      <c r="G43" s="4" t="s">
        <v>10</v>
      </c>
      <c r="H43" s="4" t="s">
        <v>33</v>
      </c>
      <c r="I43" s="10">
        <f t="shared" si="1"/>
        <v>15320</v>
      </c>
    </row>
    <row r="44" spans="1:9" x14ac:dyDescent="0.3">
      <c r="A44" s="4">
        <v>1020</v>
      </c>
      <c r="B44" s="4" t="s">
        <v>45</v>
      </c>
      <c r="C44" s="4" t="s">
        <v>12</v>
      </c>
      <c r="D44" s="4">
        <v>2</v>
      </c>
      <c r="E44" s="4">
        <v>1200</v>
      </c>
      <c r="F44" s="4">
        <v>16400</v>
      </c>
      <c r="G44" s="4" t="s">
        <v>13</v>
      </c>
      <c r="H44" s="4" t="s">
        <v>46</v>
      </c>
      <c r="I44" s="10">
        <f t="shared" si="1"/>
        <v>14960</v>
      </c>
    </row>
    <row r="45" spans="1:9" x14ac:dyDescent="0.3">
      <c r="A45" s="4">
        <v>1016</v>
      </c>
      <c r="B45" s="4" t="s">
        <v>36</v>
      </c>
      <c r="C45" s="4" t="s">
        <v>15</v>
      </c>
      <c r="D45" s="4">
        <v>2</v>
      </c>
      <c r="E45" s="4">
        <v>1500</v>
      </c>
      <c r="F45" s="4">
        <v>16400</v>
      </c>
      <c r="G45" s="4" t="s">
        <v>13</v>
      </c>
      <c r="H45" s="4" t="s">
        <v>37</v>
      </c>
      <c r="I45" s="10">
        <f t="shared" si="1"/>
        <v>14600</v>
      </c>
    </row>
    <row r="46" spans="1:9" x14ac:dyDescent="0.3">
      <c r="A46" s="2">
        <v>1013</v>
      </c>
      <c r="B46" s="2" t="s">
        <v>30</v>
      </c>
      <c r="C46" s="2" t="s">
        <v>26</v>
      </c>
      <c r="D46" s="2">
        <v>2</v>
      </c>
      <c r="E46" s="2">
        <v>12000</v>
      </c>
      <c r="F46" s="2">
        <v>24000</v>
      </c>
      <c r="G46" s="2" t="s">
        <v>18</v>
      </c>
      <c r="H46" s="2" t="s">
        <v>31</v>
      </c>
      <c r="I46" s="10">
        <f t="shared" si="1"/>
        <v>9600</v>
      </c>
    </row>
    <row r="47" spans="1:9" x14ac:dyDescent="0.3">
      <c r="A47" s="2">
        <v>1029</v>
      </c>
      <c r="B47" s="2" t="s">
        <v>61</v>
      </c>
      <c r="C47" s="2" t="s">
        <v>26</v>
      </c>
      <c r="D47" s="2">
        <v>2</v>
      </c>
      <c r="E47" s="2">
        <v>12000</v>
      </c>
      <c r="F47" s="2">
        <v>24000</v>
      </c>
      <c r="G47" s="2" t="s">
        <v>18</v>
      </c>
      <c r="H47" s="2" t="s">
        <v>62</v>
      </c>
      <c r="I47" s="10">
        <f t="shared" si="1"/>
        <v>9600</v>
      </c>
    </row>
    <row r="48" spans="1:9" x14ac:dyDescent="0.3">
      <c r="A48" s="2">
        <v>1009</v>
      </c>
      <c r="B48" s="2" t="s">
        <v>25</v>
      </c>
      <c r="C48" s="2" t="s">
        <v>26</v>
      </c>
      <c r="D48" s="2">
        <v>2</v>
      </c>
      <c r="E48" s="2">
        <v>6000</v>
      </c>
      <c r="F48" s="2">
        <v>16400</v>
      </c>
      <c r="G48" s="2" t="s">
        <v>10</v>
      </c>
      <c r="H48" s="3">
        <v>45903</v>
      </c>
      <c r="I48" s="10">
        <f t="shared" si="1"/>
        <v>9200</v>
      </c>
    </row>
    <row r="49" spans="1:9" x14ac:dyDescent="0.3">
      <c r="A49" s="2">
        <v>1007</v>
      </c>
      <c r="B49" s="2" t="s">
        <v>23</v>
      </c>
      <c r="C49" s="2" t="s">
        <v>12</v>
      </c>
      <c r="D49" s="2">
        <v>1</v>
      </c>
      <c r="E49" s="2">
        <v>12619</v>
      </c>
      <c r="F49" s="2">
        <v>16400</v>
      </c>
      <c r="G49" s="2" t="s">
        <v>13</v>
      </c>
      <c r="H49" s="3">
        <v>45841</v>
      </c>
      <c r="I49" s="10">
        <f t="shared" si="1"/>
        <v>8828.6</v>
      </c>
    </row>
    <row r="50" spans="1:9" x14ac:dyDescent="0.3">
      <c r="A50" s="2">
        <v>1019</v>
      </c>
      <c r="B50" s="2" t="s">
        <v>43</v>
      </c>
      <c r="C50" s="2" t="s">
        <v>9</v>
      </c>
      <c r="D50" s="2">
        <v>1</v>
      </c>
      <c r="E50" s="2">
        <v>20000</v>
      </c>
      <c r="F50" s="2">
        <v>20000</v>
      </c>
      <c r="G50" s="2" t="s">
        <v>16</v>
      </c>
      <c r="H50" s="2" t="s">
        <v>44</v>
      </c>
      <c r="I50" s="10">
        <f t="shared" si="1"/>
        <v>8000</v>
      </c>
    </row>
    <row r="51" spans="1:9" x14ac:dyDescent="0.3">
      <c r="A51" s="4">
        <v>1006</v>
      </c>
      <c r="B51" s="4" t="s">
        <v>21</v>
      </c>
      <c r="C51" s="4" t="s">
        <v>9</v>
      </c>
      <c r="D51" s="4">
        <v>2</v>
      </c>
      <c r="E51" s="4">
        <v>7000</v>
      </c>
      <c r="F51" s="4">
        <v>14000</v>
      </c>
      <c r="G51" s="4" t="s">
        <v>22</v>
      </c>
      <c r="H51" s="5">
        <v>45811</v>
      </c>
      <c r="I51" s="10">
        <f t="shared" si="1"/>
        <v>5600</v>
      </c>
    </row>
    <row r="52" spans="1:9" x14ac:dyDescent="0.3">
      <c r="A52" s="4">
        <v>1008</v>
      </c>
      <c r="B52" s="4" t="s">
        <v>24</v>
      </c>
      <c r="C52" s="4" t="s">
        <v>15</v>
      </c>
      <c r="D52" s="4">
        <v>3</v>
      </c>
      <c r="E52" s="4">
        <v>4500</v>
      </c>
      <c r="F52" s="4">
        <v>13500</v>
      </c>
      <c r="G52" s="4" t="s">
        <v>16</v>
      </c>
      <c r="H52" s="5">
        <v>45872</v>
      </c>
      <c r="I52" s="10">
        <f t="shared" si="1"/>
        <v>5400</v>
      </c>
    </row>
    <row r="53" spans="1:9" x14ac:dyDescent="0.3">
      <c r="A53" s="4">
        <v>1018</v>
      </c>
      <c r="B53" s="4" t="s">
        <v>41</v>
      </c>
      <c r="C53" s="4" t="s">
        <v>12</v>
      </c>
      <c r="D53" s="4">
        <v>2</v>
      </c>
      <c r="E53" s="4">
        <v>5500</v>
      </c>
      <c r="F53" s="4">
        <v>11000</v>
      </c>
      <c r="G53" s="4" t="s">
        <v>10</v>
      </c>
      <c r="H53" s="4" t="s">
        <v>42</v>
      </c>
      <c r="I53" s="10">
        <f t="shared" si="1"/>
        <v>4400</v>
      </c>
    </row>
    <row r="54" spans="1:9" x14ac:dyDescent="0.3">
      <c r="A54" s="2">
        <v>1017</v>
      </c>
      <c r="B54" s="2" t="s">
        <v>38</v>
      </c>
      <c r="C54" s="2" t="s">
        <v>39</v>
      </c>
      <c r="D54" s="2">
        <v>1</v>
      </c>
      <c r="E54" s="2">
        <v>8000</v>
      </c>
      <c r="F54" s="2">
        <v>8000</v>
      </c>
      <c r="G54" s="2" t="s">
        <v>18</v>
      </c>
      <c r="H54" s="2" t="s">
        <v>40</v>
      </c>
      <c r="I54" s="10">
        <f t="shared" si="1"/>
        <v>3200</v>
      </c>
    </row>
    <row r="55" spans="1:9" x14ac:dyDescent="0.3">
      <c r="A55" s="2">
        <v>1021</v>
      </c>
      <c r="B55" s="2" t="s">
        <v>47</v>
      </c>
      <c r="C55" s="2" t="s">
        <v>15</v>
      </c>
      <c r="D55" s="2">
        <v>2</v>
      </c>
      <c r="E55" s="2">
        <v>4000</v>
      </c>
      <c r="F55" s="2">
        <v>8000</v>
      </c>
      <c r="G55" s="2" t="s">
        <v>18</v>
      </c>
      <c r="H55" s="2" t="s">
        <v>48</v>
      </c>
      <c r="I55" s="10">
        <f t="shared" si="1"/>
        <v>3200</v>
      </c>
    </row>
    <row r="56" spans="1:9" x14ac:dyDescent="0.3">
      <c r="A56" s="2">
        <v>1015</v>
      </c>
      <c r="B56" s="2" t="s">
        <v>34</v>
      </c>
      <c r="C56" s="2" t="s">
        <v>26</v>
      </c>
      <c r="D56" s="2">
        <v>3</v>
      </c>
      <c r="E56" s="2">
        <v>1800</v>
      </c>
      <c r="F56" s="2">
        <v>5400</v>
      </c>
      <c r="G56" s="2" t="s">
        <v>16</v>
      </c>
      <c r="H56" s="2" t="s">
        <v>35</v>
      </c>
      <c r="I56" s="10">
        <f t="shared" si="1"/>
        <v>2160</v>
      </c>
    </row>
    <row r="57" spans="1:9" x14ac:dyDescent="0.3">
      <c r="A57" s="2">
        <v>1005</v>
      </c>
      <c r="B57" s="2" t="s">
        <v>19</v>
      </c>
      <c r="C57" s="2" t="s">
        <v>20</v>
      </c>
      <c r="D57" s="2">
        <v>2</v>
      </c>
      <c r="E57" s="2">
        <v>2500</v>
      </c>
      <c r="F57" s="2">
        <v>5000</v>
      </c>
      <c r="G57" s="2" t="s">
        <v>10</v>
      </c>
      <c r="H57" s="3">
        <v>45780</v>
      </c>
      <c r="I57" s="10">
        <f t="shared" si="1"/>
        <v>2000</v>
      </c>
    </row>
    <row r="58" spans="1:9" x14ac:dyDescent="0.3">
      <c r="A58" s="2">
        <v>1003</v>
      </c>
      <c r="B58" s="2" t="s">
        <v>14</v>
      </c>
      <c r="C58" s="2" t="s">
        <v>15</v>
      </c>
      <c r="D58" s="2">
        <v>1</v>
      </c>
      <c r="E58" s="2">
        <v>3500</v>
      </c>
      <c r="F58" s="2">
        <v>3500</v>
      </c>
      <c r="G58" s="2" t="s">
        <v>16</v>
      </c>
      <c r="H58" s="3">
        <v>45719</v>
      </c>
      <c r="I58" s="10">
        <f t="shared" si="1"/>
        <v>1400</v>
      </c>
    </row>
    <row r="59" spans="1:9" x14ac:dyDescent="0.3">
      <c r="A59" s="4">
        <v>1010</v>
      </c>
      <c r="B59" s="4" t="s">
        <v>27</v>
      </c>
      <c r="C59" s="4" t="s">
        <v>12</v>
      </c>
      <c r="D59" s="4">
        <v>2</v>
      </c>
      <c r="E59" s="4">
        <v>1500</v>
      </c>
      <c r="F59" s="4">
        <v>3000</v>
      </c>
      <c r="G59" s="4" t="s">
        <v>18</v>
      </c>
      <c r="H59" s="5">
        <v>45933</v>
      </c>
      <c r="I59" s="10">
        <f t="shared" si="1"/>
        <v>1200</v>
      </c>
    </row>
    <row r="60" spans="1:9" x14ac:dyDescent="0.3">
      <c r="A60" s="2">
        <v>1023</v>
      </c>
      <c r="B60" s="2" t="s">
        <v>51</v>
      </c>
      <c r="C60" s="2" t="s">
        <v>26</v>
      </c>
      <c r="D60" s="2">
        <v>1</v>
      </c>
      <c r="E60" s="2">
        <v>2500</v>
      </c>
      <c r="F60" s="2">
        <v>2500</v>
      </c>
      <c r="G60" s="2" t="s">
        <v>16</v>
      </c>
      <c r="H60" s="2" t="s">
        <v>52</v>
      </c>
      <c r="I60" s="10">
        <f t="shared" si="1"/>
        <v>1000</v>
      </c>
    </row>
    <row r="61" spans="1:9" x14ac:dyDescent="0.3">
      <c r="A61" s="4">
        <v>1012</v>
      </c>
      <c r="B61" s="4" t="s">
        <v>29</v>
      </c>
      <c r="C61" s="4" t="s">
        <v>15</v>
      </c>
      <c r="D61" s="4">
        <v>1</v>
      </c>
      <c r="E61" s="4">
        <v>2200</v>
      </c>
      <c r="F61" s="4">
        <v>2200</v>
      </c>
      <c r="G61" s="4" t="s">
        <v>13</v>
      </c>
      <c r="H61" s="5">
        <v>45994</v>
      </c>
      <c r="I61" s="10">
        <f t="shared" si="1"/>
        <v>880</v>
      </c>
    </row>
    <row r="62" spans="1:9" x14ac:dyDescent="0.3">
      <c r="A62" s="2">
        <v>1001</v>
      </c>
      <c r="B62" s="2" t="s">
        <v>8</v>
      </c>
      <c r="C62" s="2" t="s">
        <v>9</v>
      </c>
      <c r="D62" s="2">
        <v>3</v>
      </c>
      <c r="E62" s="2">
        <v>500</v>
      </c>
      <c r="F62" s="2">
        <v>1500</v>
      </c>
      <c r="G62" s="2" t="s">
        <v>10</v>
      </c>
      <c r="H62" s="3">
        <v>45660</v>
      </c>
      <c r="I62" s="10">
        <f t="shared" si="1"/>
        <v>600</v>
      </c>
    </row>
    <row r="63" spans="1:9" x14ac:dyDescent="0.3">
      <c r="A63" s="4">
        <v>1026</v>
      </c>
      <c r="B63" s="4" t="s">
        <v>56</v>
      </c>
      <c r="C63" s="4" t="s">
        <v>15</v>
      </c>
      <c r="D63" s="4">
        <v>5</v>
      </c>
      <c r="E63" s="4">
        <v>200</v>
      </c>
      <c r="F63" s="4">
        <v>1000</v>
      </c>
      <c r="G63" s="4" t="s">
        <v>10</v>
      </c>
      <c r="H63" s="4" t="s">
        <v>57</v>
      </c>
      <c r="I63" s="10">
        <f t="shared" si="1"/>
        <v>400</v>
      </c>
    </row>
    <row r="64" spans="1:9" x14ac:dyDescent="0.3">
      <c r="A64" s="4">
        <v>1022</v>
      </c>
      <c r="B64" s="4" t="s">
        <v>49</v>
      </c>
      <c r="C64" s="4" t="s">
        <v>9</v>
      </c>
      <c r="D64" s="4">
        <v>2</v>
      </c>
      <c r="E64" s="4">
        <v>15000</v>
      </c>
      <c r="F64" s="4">
        <v>16400</v>
      </c>
      <c r="G64" s="4" t="s">
        <v>10</v>
      </c>
      <c r="H64" s="4" t="s">
        <v>50</v>
      </c>
      <c r="I64" s="10">
        <f t="shared" si="1"/>
        <v>-1600</v>
      </c>
    </row>
    <row r="65" spans="1:9" x14ac:dyDescent="0.3">
      <c r="A65" s="4">
        <v>1024</v>
      </c>
      <c r="B65" s="4" t="s">
        <v>32</v>
      </c>
      <c r="C65" s="4" t="s">
        <v>12</v>
      </c>
      <c r="D65" s="4">
        <v>3</v>
      </c>
      <c r="E65" s="4">
        <v>12619</v>
      </c>
      <c r="F65" s="4">
        <v>16400</v>
      </c>
      <c r="G65" s="4" t="s">
        <v>13</v>
      </c>
      <c r="H65" s="4" t="s">
        <v>53</v>
      </c>
      <c r="I65" s="10">
        <f t="shared" si="1"/>
        <v>-6314.2000000000007</v>
      </c>
    </row>
    <row r="66" spans="1:9" x14ac:dyDescent="0.3">
      <c r="A66" s="4">
        <v>1004</v>
      </c>
      <c r="B66" s="4" t="s">
        <v>17</v>
      </c>
      <c r="C66" s="4" t="s">
        <v>9</v>
      </c>
      <c r="D66" s="4">
        <v>4</v>
      </c>
      <c r="E66" s="4">
        <v>12619</v>
      </c>
      <c r="F66" s="4">
        <v>16400</v>
      </c>
      <c r="G66" s="4" t="s">
        <v>18</v>
      </c>
      <c r="H66" s="5">
        <v>45750</v>
      </c>
      <c r="I66" s="10">
        <f t="shared" si="1"/>
        <v>-13885.599999999999</v>
      </c>
    </row>
    <row r="67" spans="1:9" x14ac:dyDescent="0.3">
      <c r="A67" s="2">
        <v>1011</v>
      </c>
      <c r="B67" s="2" t="s">
        <v>28</v>
      </c>
      <c r="C67" s="2" t="s">
        <v>9</v>
      </c>
      <c r="D67" s="2">
        <v>5</v>
      </c>
      <c r="E67" s="2">
        <v>12619</v>
      </c>
      <c r="F67" s="2">
        <v>16400</v>
      </c>
      <c r="G67" s="2" t="s">
        <v>16</v>
      </c>
      <c r="H67" s="3">
        <v>45964</v>
      </c>
      <c r="I67" s="10">
        <f t="shared" si="1"/>
        <v>-21457</v>
      </c>
    </row>
    <row r="68" spans="1:9" x14ac:dyDescent="0.3">
      <c r="A68" s="4">
        <v>1028</v>
      </c>
      <c r="B68" s="4" t="s">
        <v>23</v>
      </c>
      <c r="C68" s="4" t="s">
        <v>12</v>
      </c>
      <c r="D68" s="4">
        <v>2</v>
      </c>
      <c r="E68" s="4">
        <v>50000</v>
      </c>
      <c r="F68" s="4">
        <v>16400</v>
      </c>
      <c r="G68" s="4" t="s">
        <v>13</v>
      </c>
      <c r="H68" s="4" t="s">
        <v>60</v>
      </c>
      <c r="I68" s="10">
        <f t="shared" si="1"/>
        <v>-43600</v>
      </c>
    </row>
    <row r="72" spans="1:9" ht="18" x14ac:dyDescent="0.35">
      <c r="B72" s="24" t="s">
        <v>78</v>
      </c>
      <c r="C72" s="24"/>
      <c r="D72" s="24"/>
      <c r="E72" s="24"/>
      <c r="F72" s="24"/>
    </row>
    <row r="74" spans="1:9" x14ac:dyDescent="0.3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F74" s="1" t="s">
        <v>5</v>
      </c>
      <c r="G74" s="1" t="s">
        <v>6</v>
      </c>
      <c r="H74" s="1" t="s">
        <v>7</v>
      </c>
      <c r="I74" s="1" t="s">
        <v>76</v>
      </c>
    </row>
    <row r="75" spans="1:9" hidden="1" x14ac:dyDescent="0.3">
      <c r="A75" s="4">
        <v>1028</v>
      </c>
      <c r="B75" s="4" t="s">
        <v>23</v>
      </c>
      <c r="C75" s="4" t="s">
        <v>12</v>
      </c>
      <c r="D75" s="4">
        <v>2</v>
      </c>
      <c r="E75" s="4">
        <v>50000</v>
      </c>
      <c r="F75" s="4">
        <v>16400</v>
      </c>
      <c r="G75" s="4" t="s">
        <v>13</v>
      </c>
      <c r="H75" s="4" t="s">
        <v>60</v>
      </c>
      <c r="I75" s="10">
        <f t="shared" ref="I75:I104" si="2">F75-(D75*E75*0.6)</f>
        <v>-43600</v>
      </c>
    </row>
    <row r="76" spans="1:9" hidden="1" x14ac:dyDescent="0.3">
      <c r="A76" s="2">
        <v>1011</v>
      </c>
      <c r="B76" s="2" t="s">
        <v>28</v>
      </c>
      <c r="C76" s="2" t="s">
        <v>9</v>
      </c>
      <c r="D76" s="2">
        <v>5</v>
      </c>
      <c r="E76" s="2">
        <v>12619</v>
      </c>
      <c r="F76" s="2">
        <v>16400</v>
      </c>
      <c r="G76" s="2" t="s">
        <v>16</v>
      </c>
      <c r="H76" s="3">
        <v>45964</v>
      </c>
      <c r="I76" s="10">
        <f t="shared" si="2"/>
        <v>-21457</v>
      </c>
    </row>
    <row r="77" spans="1:9" hidden="1" x14ac:dyDescent="0.3">
      <c r="A77" s="4">
        <v>1004</v>
      </c>
      <c r="B77" s="4" t="s">
        <v>17</v>
      </c>
      <c r="C77" s="4" t="s">
        <v>9</v>
      </c>
      <c r="D77" s="4">
        <v>4</v>
      </c>
      <c r="E77" s="4">
        <v>12619</v>
      </c>
      <c r="F77" s="4">
        <v>16400</v>
      </c>
      <c r="G77" s="4" t="s">
        <v>18</v>
      </c>
      <c r="H77" s="5">
        <v>45750</v>
      </c>
      <c r="I77" s="10">
        <f t="shared" si="2"/>
        <v>-13885.599999999999</v>
      </c>
    </row>
    <row r="78" spans="1:9" hidden="1" x14ac:dyDescent="0.3">
      <c r="A78" s="4">
        <v>1024</v>
      </c>
      <c r="B78" s="4" t="s">
        <v>32</v>
      </c>
      <c r="C78" s="4" t="s">
        <v>12</v>
      </c>
      <c r="D78" s="4">
        <v>3</v>
      </c>
      <c r="E78" s="4">
        <v>12619</v>
      </c>
      <c r="F78" s="4">
        <v>16400</v>
      </c>
      <c r="G78" s="4" t="s">
        <v>13</v>
      </c>
      <c r="H78" s="4" t="s">
        <v>53</v>
      </c>
      <c r="I78" s="10">
        <f t="shared" si="2"/>
        <v>-6314.2000000000007</v>
      </c>
    </row>
    <row r="79" spans="1:9" hidden="1" x14ac:dyDescent="0.3">
      <c r="A79" s="4">
        <v>1022</v>
      </c>
      <c r="B79" s="4" t="s">
        <v>49</v>
      </c>
      <c r="C79" s="4" t="s">
        <v>9</v>
      </c>
      <c r="D79" s="4">
        <v>2</v>
      </c>
      <c r="E79" s="4">
        <v>15000</v>
      </c>
      <c r="F79" s="4">
        <v>16400</v>
      </c>
      <c r="G79" s="4" t="s">
        <v>10</v>
      </c>
      <c r="H79" s="4" t="s">
        <v>50</v>
      </c>
      <c r="I79" s="10">
        <f t="shared" si="2"/>
        <v>-1600</v>
      </c>
    </row>
    <row r="80" spans="1:9" hidden="1" x14ac:dyDescent="0.3">
      <c r="A80" s="4">
        <v>1026</v>
      </c>
      <c r="B80" s="4" t="s">
        <v>56</v>
      </c>
      <c r="C80" s="4" t="s">
        <v>15</v>
      </c>
      <c r="D80" s="4">
        <v>5</v>
      </c>
      <c r="E80" s="4">
        <v>200</v>
      </c>
      <c r="F80" s="4">
        <v>1000</v>
      </c>
      <c r="G80" s="4" t="s">
        <v>10</v>
      </c>
      <c r="H80" s="4" t="s">
        <v>57</v>
      </c>
      <c r="I80" s="10">
        <f t="shared" si="2"/>
        <v>400</v>
      </c>
    </row>
    <row r="81" spans="1:9" hidden="1" x14ac:dyDescent="0.3">
      <c r="A81" s="2">
        <v>1001</v>
      </c>
      <c r="B81" s="2" t="s">
        <v>8</v>
      </c>
      <c r="C81" s="2" t="s">
        <v>9</v>
      </c>
      <c r="D81" s="2">
        <v>3</v>
      </c>
      <c r="E81" s="2">
        <v>500</v>
      </c>
      <c r="F81" s="2">
        <v>1500</v>
      </c>
      <c r="G81" s="2" t="s">
        <v>10</v>
      </c>
      <c r="H81" s="3">
        <v>45660</v>
      </c>
      <c r="I81" s="10">
        <f t="shared" si="2"/>
        <v>600</v>
      </c>
    </row>
    <row r="82" spans="1:9" hidden="1" x14ac:dyDescent="0.3">
      <c r="A82" s="4">
        <v>1012</v>
      </c>
      <c r="B82" s="4" t="s">
        <v>29</v>
      </c>
      <c r="C82" s="4" t="s">
        <v>15</v>
      </c>
      <c r="D82" s="4">
        <v>1</v>
      </c>
      <c r="E82" s="4">
        <v>2200</v>
      </c>
      <c r="F82" s="4">
        <v>2200</v>
      </c>
      <c r="G82" s="4" t="s">
        <v>13</v>
      </c>
      <c r="H82" s="5">
        <v>45994</v>
      </c>
      <c r="I82" s="10">
        <f t="shared" si="2"/>
        <v>880</v>
      </c>
    </row>
    <row r="83" spans="1:9" hidden="1" x14ac:dyDescent="0.3">
      <c r="A83" s="2">
        <v>1023</v>
      </c>
      <c r="B83" s="2" t="s">
        <v>51</v>
      </c>
      <c r="C83" s="2" t="s">
        <v>26</v>
      </c>
      <c r="D83" s="2">
        <v>1</v>
      </c>
      <c r="E83" s="2">
        <v>2500</v>
      </c>
      <c r="F83" s="2">
        <v>2500</v>
      </c>
      <c r="G83" s="2" t="s">
        <v>16</v>
      </c>
      <c r="H83" s="2" t="s">
        <v>52</v>
      </c>
      <c r="I83" s="10">
        <f t="shared" si="2"/>
        <v>1000</v>
      </c>
    </row>
    <row r="84" spans="1:9" hidden="1" x14ac:dyDescent="0.3">
      <c r="A84" s="4">
        <v>1010</v>
      </c>
      <c r="B84" s="4" t="s">
        <v>27</v>
      </c>
      <c r="C84" s="4" t="s">
        <v>12</v>
      </c>
      <c r="D84" s="4">
        <v>2</v>
      </c>
      <c r="E84" s="4">
        <v>1500</v>
      </c>
      <c r="F84" s="4">
        <v>3000</v>
      </c>
      <c r="G84" s="4" t="s">
        <v>18</v>
      </c>
      <c r="H84" s="5">
        <v>45933</v>
      </c>
      <c r="I84" s="10">
        <f t="shared" si="2"/>
        <v>1200</v>
      </c>
    </row>
    <row r="85" spans="1:9" hidden="1" x14ac:dyDescent="0.3">
      <c r="A85" s="2">
        <v>1003</v>
      </c>
      <c r="B85" s="2" t="s">
        <v>14</v>
      </c>
      <c r="C85" s="2" t="s">
        <v>15</v>
      </c>
      <c r="D85" s="2">
        <v>1</v>
      </c>
      <c r="E85" s="2">
        <v>3500</v>
      </c>
      <c r="F85" s="2">
        <v>3500</v>
      </c>
      <c r="G85" s="2" t="s">
        <v>16</v>
      </c>
      <c r="H85" s="3">
        <v>45719</v>
      </c>
      <c r="I85" s="10">
        <f t="shared" si="2"/>
        <v>1400</v>
      </c>
    </row>
    <row r="86" spans="1:9" hidden="1" x14ac:dyDescent="0.3">
      <c r="A86" s="2">
        <v>1005</v>
      </c>
      <c r="B86" s="2" t="s">
        <v>19</v>
      </c>
      <c r="C86" s="2" t="s">
        <v>20</v>
      </c>
      <c r="D86" s="2">
        <v>2</v>
      </c>
      <c r="E86" s="2">
        <v>2500</v>
      </c>
      <c r="F86" s="2">
        <v>5000</v>
      </c>
      <c r="G86" s="2" t="s">
        <v>10</v>
      </c>
      <c r="H86" s="3">
        <v>45780</v>
      </c>
      <c r="I86" s="10">
        <f t="shared" si="2"/>
        <v>2000</v>
      </c>
    </row>
    <row r="87" spans="1:9" hidden="1" x14ac:dyDescent="0.3">
      <c r="A87" s="2">
        <v>1015</v>
      </c>
      <c r="B87" s="2" t="s">
        <v>34</v>
      </c>
      <c r="C87" s="2" t="s">
        <v>26</v>
      </c>
      <c r="D87" s="2">
        <v>3</v>
      </c>
      <c r="E87" s="2">
        <v>1800</v>
      </c>
      <c r="F87" s="2">
        <v>5400</v>
      </c>
      <c r="G87" s="2" t="s">
        <v>16</v>
      </c>
      <c r="H87" s="2" t="s">
        <v>35</v>
      </c>
      <c r="I87" s="10">
        <f t="shared" si="2"/>
        <v>2160</v>
      </c>
    </row>
    <row r="88" spans="1:9" hidden="1" x14ac:dyDescent="0.3">
      <c r="A88" s="2">
        <v>1017</v>
      </c>
      <c r="B88" s="2" t="s">
        <v>38</v>
      </c>
      <c r="C88" s="2" t="s">
        <v>39</v>
      </c>
      <c r="D88" s="2">
        <v>1</v>
      </c>
      <c r="E88" s="2">
        <v>8000</v>
      </c>
      <c r="F88" s="2">
        <v>8000</v>
      </c>
      <c r="G88" s="2" t="s">
        <v>18</v>
      </c>
      <c r="H88" s="2" t="s">
        <v>40</v>
      </c>
      <c r="I88" s="10">
        <f t="shared" si="2"/>
        <v>3200</v>
      </c>
    </row>
    <row r="89" spans="1:9" hidden="1" x14ac:dyDescent="0.3">
      <c r="A89" s="2">
        <v>1021</v>
      </c>
      <c r="B89" s="2" t="s">
        <v>47</v>
      </c>
      <c r="C89" s="2" t="s">
        <v>15</v>
      </c>
      <c r="D89" s="2">
        <v>2</v>
      </c>
      <c r="E89" s="2">
        <v>4000</v>
      </c>
      <c r="F89" s="2">
        <v>8000</v>
      </c>
      <c r="G89" s="2" t="s">
        <v>18</v>
      </c>
      <c r="H89" s="2" t="s">
        <v>48</v>
      </c>
      <c r="I89" s="10">
        <f t="shared" si="2"/>
        <v>3200</v>
      </c>
    </row>
    <row r="90" spans="1:9" hidden="1" x14ac:dyDescent="0.3">
      <c r="A90" s="4">
        <v>1018</v>
      </c>
      <c r="B90" s="4" t="s">
        <v>41</v>
      </c>
      <c r="C90" s="4" t="s">
        <v>12</v>
      </c>
      <c r="D90" s="4">
        <v>2</v>
      </c>
      <c r="E90" s="4">
        <v>5500</v>
      </c>
      <c r="F90" s="4">
        <v>11000</v>
      </c>
      <c r="G90" s="4" t="s">
        <v>10</v>
      </c>
      <c r="H90" s="4" t="s">
        <v>42</v>
      </c>
      <c r="I90" s="10">
        <f t="shared" si="2"/>
        <v>4400</v>
      </c>
    </row>
    <row r="91" spans="1:9" hidden="1" x14ac:dyDescent="0.3">
      <c r="A91" s="4">
        <v>1008</v>
      </c>
      <c r="B91" s="4" t="s">
        <v>24</v>
      </c>
      <c r="C91" s="4" t="s">
        <v>15</v>
      </c>
      <c r="D91" s="4">
        <v>3</v>
      </c>
      <c r="E91" s="4">
        <v>4500</v>
      </c>
      <c r="F91" s="4">
        <v>13500</v>
      </c>
      <c r="G91" s="4" t="s">
        <v>16</v>
      </c>
      <c r="H91" s="5">
        <v>45872</v>
      </c>
      <c r="I91" s="10">
        <f t="shared" si="2"/>
        <v>5400</v>
      </c>
    </row>
    <row r="92" spans="1:9" hidden="1" x14ac:dyDescent="0.3">
      <c r="A92" s="4">
        <v>1006</v>
      </c>
      <c r="B92" s="4" t="s">
        <v>21</v>
      </c>
      <c r="C92" s="4" t="s">
        <v>9</v>
      </c>
      <c r="D92" s="4">
        <v>2</v>
      </c>
      <c r="E92" s="4">
        <v>7000</v>
      </c>
      <c r="F92" s="4">
        <v>14000</v>
      </c>
      <c r="G92" s="4" t="s">
        <v>22</v>
      </c>
      <c r="H92" s="5">
        <v>45811</v>
      </c>
      <c r="I92" s="10">
        <f t="shared" si="2"/>
        <v>5600</v>
      </c>
    </row>
    <row r="93" spans="1:9" hidden="1" x14ac:dyDescent="0.3">
      <c r="A93" s="2">
        <v>1019</v>
      </c>
      <c r="B93" s="2" t="s">
        <v>43</v>
      </c>
      <c r="C93" s="2" t="s">
        <v>9</v>
      </c>
      <c r="D93" s="2">
        <v>1</v>
      </c>
      <c r="E93" s="2">
        <v>20000</v>
      </c>
      <c r="F93" s="2">
        <v>20000</v>
      </c>
      <c r="G93" s="2" t="s">
        <v>16</v>
      </c>
      <c r="H93" s="2" t="s">
        <v>44</v>
      </c>
      <c r="I93" s="10">
        <f t="shared" si="2"/>
        <v>8000</v>
      </c>
    </row>
    <row r="94" spans="1:9" hidden="1" x14ac:dyDescent="0.3">
      <c r="A94" s="2">
        <v>1007</v>
      </c>
      <c r="B94" s="2" t="s">
        <v>23</v>
      </c>
      <c r="C94" s="2" t="s">
        <v>12</v>
      </c>
      <c r="D94" s="2">
        <v>1</v>
      </c>
      <c r="E94" s="2">
        <v>12619</v>
      </c>
      <c r="F94" s="2">
        <v>16400</v>
      </c>
      <c r="G94" s="2" t="s">
        <v>13</v>
      </c>
      <c r="H94" s="3">
        <v>45841</v>
      </c>
      <c r="I94" s="10">
        <f t="shared" si="2"/>
        <v>8828.6</v>
      </c>
    </row>
    <row r="95" spans="1:9" hidden="1" x14ac:dyDescent="0.3">
      <c r="A95" s="2">
        <v>1009</v>
      </c>
      <c r="B95" s="2" t="s">
        <v>25</v>
      </c>
      <c r="C95" s="2" t="s">
        <v>26</v>
      </c>
      <c r="D95" s="2">
        <v>2</v>
      </c>
      <c r="E95" s="2">
        <v>6000</v>
      </c>
      <c r="F95" s="2">
        <v>16400</v>
      </c>
      <c r="G95" s="2" t="s">
        <v>10</v>
      </c>
      <c r="H95" s="3">
        <v>45903</v>
      </c>
      <c r="I95" s="10">
        <f t="shared" si="2"/>
        <v>9200</v>
      </c>
    </row>
    <row r="96" spans="1:9" hidden="1" x14ac:dyDescent="0.3">
      <c r="A96" s="2">
        <v>1013</v>
      </c>
      <c r="B96" s="2" t="s">
        <v>30</v>
      </c>
      <c r="C96" s="2" t="s">
        <v>26</v>
      </c>
      <c r="D96" s="2">
        <v>2</v>
      </c>
      <c r="E96" s="2">
        <v>12000</v>
      </c>
      <c r="F96" s="2">
        <v>24000</v>
      </c>
      <c r="G96" s="2" t="s">
        <v>18</v>
      </c>
      <c r="H96" s="2" t="s">
        <v>31</v>
      </c>
      <c r="I96" s="10">
        <f t="shared" si="2"/>
        <v>9600</v>
      </c>
    </row>
    <row r="97" spans="1:9" hidden="1" x14ac:dyDescent="0.3">
      <c r="A97" s="2">
        <v>1029</v>
      </c>
      <c r="B97" s="2" t="s">
        <v>61</v>
      </c>
      <c r="C97" s="2" t="s">
        <v>26</v>
      </c>
      <c r="D97" s="2">
        <v>2</v>
      </c>
      <c r="E97" s="2">
        <v>12000</v>
      </c>
      <c r="F97" s="2">
        <v>24000</v>
      </c>
      <c r="G97" s="2" t="s">
        <v>18</v>
      </c>
      <c r="H97" s="2" t="s">
        <v>62</v>
      </c>
      <c r="I97" s="10">
        <f t="shared" si="2"/>
        <v>9600</v>
      </c>
    </row>
    <row r="98" spans="1:9" hidden="1" x14ac:dyDescent="0.3">
      <c r="A98" s="4">
        <v>1016</v>
      </c>
      <c r="B98" s="4" t="s">
        <v>36</v>
      </c>
      <c r="C98" s="4" t="s">
        <v>15</v>
      </c>
      <c r="D98" s="4">
        <v>2</v>
      </c>
      <c r="E98" s="4">
        <v>1500</v>
      </c>
      <c r="F98" s="4">
        <v>16400</v>
      </c>
      <c r="G98" s="4" t="s">
        <v>13</v>
      </c>
      <c r="H98" s="4" t="s">
        <v>37</v>
      </c>
      <c r="I98" s="10">
        <f t="shared" si="2"/>
        <v>14600</v>
      </c>
    </row>
    <row r="99" spans="1:9" hidden="1" x14ac:dyDescent="0.3">
      <c r="A99" s="4">
        <v>1020</v>
      </c>
      <c r="B99" s="4" t="s">
        <v>45</v>
      </c>
      <c r="C99" s="4" t="s">
        <v>12</v>
      </c>
      <c r="D99" s="4">
        <v>2</v>
      </c>
      <c r="E99" s="4">
        <v>1200</v>
      </c>
      <c r="F99" s="4">
        <v>16400</v>
      </c>
      <c r="G99" s="4" t="s">
        <v>13</v>
      </c>
      <c r="H99" s="4" t="s">
        <v>46</v>
      </c>
      <c r="I99" s="10">
        <f t="shared" si="2"/>
        <v>14960</v>
      </c>
    </row>
    <row r="100" spans="1:9" hidden="1" x14ac:dyDescent="0.3">
      <c r="A100" s="4">
        <v>1014</v>
      </c>
      <c r="B100" s="4" t="s">
        <v>32</v>
      </c>
      <c r="C100" s="4" t="s">
        <v>12</v>
      </c>
      <c r="D100" s="4">
        <v>2</v>
      </c>
      <c r="E100" s="4">
        <v>900</v>
      </c>
      <c r="F100" s="4">
        <v>16400</v>
      </c>
      <c r="G100" s="4" t="s">
        <v>10</v>
      </c>
      <c r="H100" s="4" t="s">
        <v>33</v>
      </c>
      <c r="I100" s="10">
        <f t="shared" si="2"/>
        <v>15320</v>
      </c>
    </row>
    <row r="101" spans="1:9" hidden="1" x14ac:dyDescent="0.3">
      <c r="A101" s="4">
        <v>1002</v>
      </c>
      <c r="B101" s="4" t="s">
        <v>11</v>
      </c>
      <c r="C101" s="4" t="s">
        <v>12</v>
      </c>
      <c r="D101" s="4">
        <v>2</v>
      </c>
      <c r="E101" s="4">
        <v>800</v>
      </c>
      <c r="F101" s="4">
        <v>16400</v>
      </c>
      <c r="G101" s="4" t="s">
        <v>13</v>
      </c>
      <c r="H101" s="5">
        <v>45691</v>
      </c>
      <c r="I101" s="10">
        <f t="shared" si="2"/>
        <v>15440</v>
      </c>
    </row>
    <row r="102" spans="1:9" x14ac:dyDescent="0.3">
      <c r="A102" s="2">
        <v>1025</v>
      </c>
      <c r="B102" s="2" t="s">
        <v>54</v>
      </c>
      <c r="C102" s="2" t="s">
        <v>9</v>
      </c>
      <c r="D102" s="2">
        <v>1</v>
      </c>
      <c r="E102" s="2">
        <v>40000</v>
      </c>
      <c r="F102" s="2">
        <v>40000</v>
      </c>
      <c r="G102" s="2" t="s">
        <v>18</v>
      </c>
      <c r="H102" s="2" t="s">
        <v>55</v>
      </c>
      <c r="I102" s="10">
        <f t="shared" si="2"/>
        <v>16000</v>
      </c>
    </row>
    <row r="103" spans="1:9" x14ac:dyDescent="0.3">
      <c r="A103" s="2">
        <v>1027</v>
      </c>
      <c r="B103" s="2" t="s">
        <v>58</v>
      </c>
      <c r="C103" s="2" t="s">
        <v>39</v>
      </c>
      <c r="D103" s="2">
        <v>1</v>
      </c>
      <c r="E103" s="2">
        <v>55000</v>
      </c>
      <c r="F103" s="2">
        <v>55000</v>
      </c>
      <c r="G103" s="2" t="s">
        <v>16</v>
      </c>
      <c r="H103" s="2" t="s">
        <v>59</v>
      </c>
      <c r="I103" s="10">
        <f t="shared" si="2"/>
        <v>22000</v>
      </c>
    </row>
    <row r="104" spans="1:9" x14ac:dyDescent="0.3">
      <c r="A104" s="4">
        <v>1030</v>
      </c>
      <c r="B104" s="4" t="s">
        <v>63</v>
      </c>
      <c r="C104" s="4" t="s">
        <v>9</v>
      </c>
      <c r="D104" s="4">
        <v>1</v>
      </c>
      <c r="E104" s="4">
        <v>70000</v>
      </c>
      <c r="F104" s="4">
        <v>70000</v>
      </c>
      <c r="G104" s="4" t="s">
        <v>10</v>
      </c>
      <c r="H104" s="4" t="s">
        <v>64</v>
      </c>
      <c r="I104" s="10">
        <f t="shared" si="2"/>
        <v>28000</v>
      </c>
    </row>
  </sheetData>
  <autoFilter ref="A74:I104" xr:uid="{00000000-0009-0000-0000-000004000000}">
    <filterColumn colId="8">
      <top10 val="3" filterVal="16000"/>
    </filterColumn>
    <sortState xmlns:xlrd2="http://schemas.microsoft.com/office/spreadsheetml/2017/richdata2" ref="A75:I104">
      <sortCondition ref="I74"/>
    </sortState>
  </autoFilter>
  <mergeCells count="3">
    <mergeCell ref="B72:F72"/>
    <mergeCell ref="A36:G36"/>
    <mergeCell ref="A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Question1</vt:lpstr>
      <vt:lpstr>Question2</vt:lpstr>
      <vt:lpstr>Question3</vt:lpstr>
      <vt:lpstr>Question4</vt:lpstr>
      <vt:lpstr>Q5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2025-11-12T05:48:35Z</dcterms:modified>
</cp:coreProperties>
</file>